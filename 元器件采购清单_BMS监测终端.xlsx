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正点原子\个人项目实战\BMS项目设计\"/>
    </mc:Choice>
  </mc:AlternateContent>
  <xr:revisionPtr revIDLastSave="0" documentId="13_ncr:1_{69C7E91B-3EFB-4820-92B1-EABFBD7468EA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① 采购清单" sheetId="1" r:id="rId1"/>
    <sheet name="② 已有·不采购" sheetId="2" r:id="rId2"/>
    <sheet name="③ 退路与预留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0" i="1" l="1"/>
  <c r="K19" i="1"/>
  <c r="K18" i="1"/>
  <c r="K17" i="1"/>
  <c r="K16" i="1"/>
  <c r="K12" i="1"/>
  <c r="K30" i="1"/>
  <c r="K15" i="1"/>
  <c r="K14" i="1"/>
  <c r="K11" i="1"/>
  <c r="K10" i="1"/>
  <c r="K8" i="1"/>
  <c r="K7" i="1"/>
  <c r="K44" i="1" l="1"/>
</calcChain>
</file>

<file path=xl/sharedStrings.xml><?xml version="1.0" encoding="utf-8"?>
<sst xmlns="http://schemas.openxmlformats.org/spreadsheetml/2006/main" count="433" uniqueCount="279">
  <si>
    <t>4S 磷酸铁锂 BMS 监测终端 · 元器件采购清单</t>
  </si>
  <si>
    <t>交付版本 v1.0 ｜ 生成日期 2026-09-26 ｜ 电池规格 4S / 12.8V / 6Ah ｜ 额定放电 5A · 峰值 10A · 上限 15A</t>
  </si>
  <si>
    <t>来源：元器件选型.doc v2.3（规格与数量未作任何改动，仅重排为采购格式）。技术规格以 PRD.md / Tech_Design.md 为准。</t>
  </si>
  <si>
    <t>★ = 关键件，型号与参数不得替换；⛔ = 禁止项。物流、单价与货期请填写 J / M / N / O 列。交期硬截止：2026-09-29 24:00。</t>
  </si>
  <si>
    <t>序号</t>
  </si>
  <si>
    <t>分类</t>
  </si>
  <si>
    <t>物料名称</t>
  </si>
  <si>
    <t>规格型号 / 关键参数</t>
  </si>
  <si>
    <t>品牌 / 厂家</t>
  </si>
  <si>
    <t>封装 / 形式</t>
  </si>
  <si>
    <t>订购数量</t>
  </si>
  <si>
    <t>单位</t>
  </si>
  <si>
    <t>数量说明</t>
  </si>
  <si>
    <t>单价 ¥</t>
  </si>
  <si>
    <t>小计 ¥</t>
  </si>
  <si>
    <t>采购备注（下单必须核对）</t>
  </si>
  <si>
    <t>供应商 / 渠道</t>
  </si>
  <si>
    <t>货期(天)</t>
  </si>
  <si>
    <t>报价 ¥</t>
  </si>
  <si>
    <t>一、采集链（AFE 采样板核心）</t>
  </si>
  <si>
    <t>1-1</t>
  </si>
  <si>
    <t>采集链</t>
  </si>
  <si>
    <t>AFE 电池监控芯片</t>
  </si>
  <si>
    <t>bq76920，3~5S，内置 14bit ADC + 硬件 OCD/SCD，TSSOP-20，卷带包装</t>
  </si>
  <si>
    <t>TI 德州仪器</t>
  </si>
  <si>
    <t>TSSOP-20</t>
  </si>
  <si>
    <t>片</t>
  </si>
  <si>
    <t>全数使用（5 片）</t>
  </si>
  <si>
    <t>★ 尾缀只订 PWR（BQ7692003PWR）；⛔ 不要 .PWR.A（Call TI，无法正常订购）；⛔ 不要 00 版（2.5V）。建议同批、同日期码。03 版 CRC 出厂固化开启。</t>
  </si>
  <si>
    <t>1-2</t>
  </si>
  <si>
    <t>电流监测模块</t>
  </si>
  <si>
    <t>INA226 模块，36V / 16bit / I²C 地址 0x40</t>
  </si>
  <si>
    <t>—</t>
  </si>
  <si>
    <t>模块</t>
  </si>
  <si>
    <t>个</t>
  </si>
  <si>
    <t>1 个</t>
  </si>
  <si>
    <t>模块到货后须拆掉板载 R100（0.1Ω），改用 1-3 的四端子分流器；否则 1A 即超量程。</t>
  </si>
  <si>
    <t>1-3</t>
  </si>
  <si>
    <t>分流器</t>
  </si>
  <si>
    <t>5mΩ / 3W，四端子（Kelvin）</t>
  </si>
  <si>
    <t>四端子</t>
  </si>
  <si>
    <t>只</t>
  </si>
  <si>
    <t>四端子件：采样线从本体两端单独引出，不共用主电流路径。</t>
  </si>
  <si>
    <t>1-4</t>
  </si>
  <si>
    <t>NTC 热敏电阻</t>
  </si>
  <si>
    <t>NTC 10K B3950，带引线</t>
  </si>
  <si>
    <t>带引线</t>
  </si>
  <si>
    <t>2 只使用 + 1 只备</t>
  </si>
  <si>
    <t>必须带引线，B3950 曲线；用于电芯表面测温（占 2 路 ADC）。</t>
  </si>
  <si>
    <t>1-6</t>
  </si>
  <si>
    <t>电流采样电阻 Rsns</t>
  </si>
  <si>
    <t>5mΩ ±1% / 10W / ±75ppm/℃ / SIP-4 四端子，Isabellenhütte PBV-R005-F1-1.0，立创料号 C2688848</t>
  </si>
  <si>
    <t>Isabellenhütte</t>
  </si>
  <si>
    <t>SIP-4</t>
  </si>
  <si>
    <t>1 只使用 + 1 只备</t>
  </si>
  <si>
    <t>★★ 硬件过流/短路保护门限的基准件，缺它等于没有硬件保护。必须四端子（脚 1/4 = 电流脚接主回路，脚 2/3 = 取样脚）；⛔ 不用两焊盘件（5mΩ 两焊盘最高只有 4W）；⛔ 不用 ±5% 精度件；⛔ 不用绕线件。立创现货 17 片。</t>
  </si>
  <si>
    <t>1-7</t>
  </si>
  <si>
    <t>大电流接线端子</t>
  </si>
  <si>
    <t>KF128-5.08-2P-AA，2P，额定 24A / 250V / 线规 2.5mm²（A 板用）</t>
  </si>
  <si>
    <t>插件 5.08mm</t>
  </si>
  <si>
    <t>2 只</t>
  </si>
  <si>
    <t>要求 ≥15A；⛔ 不得用 KF301（仅 10A）。A 板上唯一功率通路，Rsns 焊在这两个端子之间。与 3-4 同规格。</t>
  </si>
  <si>
    <t>二、执行器与保护</t>
  </si>
  <si>
    <t>2-1</t>
  </si>
  <si>
    <t>执行器</t>
  </si>
  <si>
    <t>功率 MOSFET</t>
  </si>
  <si>
    <t>IRLZ44N，55V / 47A / 22mΩ，逻辑电平</t>
  </si>
  <si>
    <t>TO-220</t>
  </si>
  <si>
    <t>2 只使用 + 2 只备</t>
  </si>
  <si>
    <t>必须逻辑电平（低 Vgs(th)）；⛔ 不要为降 Rds 并联大管（总 Ciss 必须 ≤10nF 量级）。</t>
  </si>
  <si>
    <t>2-2</t>
  </si>
  <si>
    <t>小信号 MOSFET</t>
  </si>
  <si>
    <t>2N7002</t>
  </si>
  <si>
    <t>SOT-23</t>
  </si>
  <si>
    <t>10 只</t>
  </si>
  <si>
    <t>用于把主 MOS 栅极短路到源极的使能关断链。</t>
  </si>
  <si>
    <t>2-3</t>
  </si>
  <si>
    <t>预充 MOSFET</t>
  </si>
  <si>
    <t>IRLML6344，30V / 5A</t>
  </si>
  <si>
    <t>1 只使用 + 3 只备</t>
  </si>
  <si>
    <t>只承受预充电流，不承担主电流。</t>
  </si>
  <si>
    <t>2-4</t>
  </si>
  <si>
    <t>预充限流电阻</t>
  </si>
  <si>
    <t>10Ω / 10W 水泥电阻</t>
  </si>
  <si>
    <t>轴向</t>
  </si>
  <si>
    <t>限制浪涌 ≈1.46A。</t>
  </si>
  <si>
    <t>2-5</t>
  </si>
  <si>
    <t>保险丝及座</t>
  </si>
  <si>
    <t>15A 汽车片式保险丝 + 保险丝座</t>
  </si>
  <si>
    <t>片式 + 座</t>
  </si>
  <si>
    <t>套</t>
  </si>
  <si>
    <t>保险丝 5 只 + 座 5 只</t>
  </si>
  <si>
    <t>主回路最后防线；DC 分断能力要够。</t>
  </si>
  <si>
    <t>2-6</t>
  </si>
  <si>
    <t>反接保护 PMOS</t>
  </si>
  <si>
    <t>AO3401</t>
  </si>
  <si>
    <t>⚠️ 只护开发板支路（≈200mA），不在主回路上；不得当主回路反接保护用。</t>
  </si>
  <si>
    <t>2-7</t>
  </si>
  <si>
    <t>TVS 二极管</t>
  </si>
  <si>
    <t>SMBJ20A</t>
  </si>
  <si>
    <t>SMB</t>
  </si>
  <si>
    <t>仅按 4S 电压选型，抑制感性反压。</t>
  </si>
  <si>
    <t>2-8</t>
  </si>
  <si>
    <t>栅极/漏极阻件一套</t>
  </si>
  <si>
    <t>470Ω ×4 + 100Ω ×4 + 10K ×8</t>
  </si>
  <si>
    <t>0805</t>
  </si>
  <si>
    <t>1 套</t>
  </si>
  <si>
    <t>★ 10K 下拉不可省：EN_x 与主 MOS 栅极都必须外部下拉（MCU 死机时也关断）。</t>
  </si>
  <si>
    <t>2-9</t>
  </si>
  <si>
    <t>散热件</t>
  </si>
  <si>
    <t>铝散热片 40×40×20 ×2 + 小风扇</t>
  </si>
  <si>
    <t>10A 时 ≈4.4W；小铝片 25×25×10 只够 1.1W，不够用。</t>
  </si>
  <si>
    <t>三、电池与能源</t>
  </si>
  <si>
    <t>3-1</t>
  </si>
  <si>
    <t>电池与能源</t>
  </si>
  <si>
    <t>磷酸铁锂电池组</t>
  </si>
  <si>
    <t>4S1P 32700 LFP 6Ah ×4 + 4 节塑料支架 + 连接螺栓</t>
  </si>
  <si>
    <t>32700 圆柱</t>
  </si>
  <si>
    <t>1 套（含 4 只电芯）</t>
  </si>
  <si>
    <t>⛔ 不要镍片（无点焊机）；⛔ 不用干电池或 1.5V 恒压锂替代。</t>
  </si>
  <si>
    <t>3-2</t>
  </si>
  <si>
    <t>可调直流电源</t>
  </si>
  <si>
    <t>0~30V / 5A，CC·CV，输出浮地</t>
  </si>
  <si>
    <t>台式</t>
  </si>
  <si>
    <t>台</t>
  </si>
  <si>
    <t>1 台</t>
  </si>
  <si>
    <t>★ 输出必须浮地（不接其 GND 接线柱）；兼任充电器与台架电源。</t>
  </si>
  <si>
    <t>3-3</t>
  </si>
  <si>
    <t>放电负载</t>
  </si>
  <si>
    <t>XL4016（8A）恒流模块 + 10Ω/50W 水泥电阻 ×4（并联 = 2.5Ω / 200W）</t>
  </si>
  <si>
    <t>必须 2.5Ω 档：1.1Ω 会让模块自身耗散 45.5W 烧毁。</t>
  </si>
  <si>
    <t>3-4</t>
  </si>
  <si>
    <t>主回路端子与线材</t>
  </si>
  <si>
    <t>KF128 / 凤凰端子（≥15A）+ 2.5mm² 硅胶线</t>
  </si>
  <si>
    <t>⛔ KF301 仅 10A，不得用于主回路；主回路严禁面包板与杜邦线。</t>
  </si>
  <si>
    <t>3-5</t>
  </si>
  <si>
    <t>RTC 后备电池</t>
  </si>
  <si>
    <t>CR1220 纽扣电池 + 电池座</t>
  </si>
  <si>
    <t>不装则断电后时间戳全丢（验收项）。</t>
  </si>
  <si>
    <t>四、交互与通信</t>
  </si>
  <si>
    <t>4-2</t>
  </si>
  <si>
    <t>交互通信</t>
  </si>
  <si>
    <t>板载 RS485</t>
  </si>
  <si>
    <t>RS485 收发电路（USART2 PA2/PA3 + PD7 方向控制）</t>
  </si>
  <si>
    <t>模块/板载</t>
  </si>
  <si>
    <t>配套 P5 跳线必须插上，否则 Modbus 直接不通。</t>
  </si>
  <si>
    <t>4-3</t>
  </si>
  <si>
    <t>USB↔RS485 转换器</t>
  </si>
  <si>
    <t>隔离型 USB 转 RS485（UT-890 类）</t>
  </si>
  <si>
    <t>★ 必须隔离型：非隔离型会把 PC 大地引到板地，旁路低边主开关，保护失效且不报错。</t>
  </si>
  <si>
    <t>五、阻容与散件（一次配齐）</t>
  </si>
  <si>
    <t>6-1</t>
  </si>
  <si>
    <t>阻容散件</t>
  </si>
  <si>
    <t>电阻包</t>
  </si>
  <si>
    <t>10K / 100Ω / 470Ω / 43K / 499K / 1MΩ / 100K 各 ×10~20</t>
  </si>
  <si>
    <t>★ 必须含 499K 档；若电阻包无 499K，单买 0805 一批补足。</t>
  </si>
  <si>
    <t>6-2</t>
  </si>
  <si>
    <t>均衡限流电阻</t>
  </si>
  <si>
    <t>100Ω ×4</t>
  </si>
  <si>
    <t>AFE 每串必须外接均衡限流电阻。</t>
  </si>
  <si>
    <t>6-3</t>
  </si>
  <si>
    <t>ALERT 下拉电阻与电容</t>
  </si>
  <si>
    <t>499K ×2（0805）+ 470pF ×2</t>
  </si>
  <si>
    <t>499K 电阻 ×2 + 470pF 电容 ×2</t>
  </si>
  <si>
    <t>★★ 必须是 499K + 470pF 这一组；⛔ 不得用 1MΩ（时间常数超手册上限）；⛔ 该节点禁止上拉。</t>
  </si>
  <si>
    <t>6-4</t>
  </si>
  <si>
    <t>BOOT 串阻</t>
  </si>
  <si>
    <t>1KΩ ×2</t>
  </si>
  <si>
    <t>★ AFE 能否启动全押在这只电阻上。</t>
  </si>
  <si>
    <t>6-5</t>
  </si>
  <si>
    <t>电容包</t>
  </si>
  <si>
    <t>100nF ×20 ｜ 1µF ×10 ｜ 1000µF/25V ×2 ｜ 4.7µF（REGOUT 补偿）｜ 470pF ×2（ALERT）</t>
  </si>
  <si>
    <t>0805/插件</t>
  </si>
  <si>
    <t>ALERT 节点只允许 470pF；⛔ 更大的电容会拖慢边沿。</t>
  </si>
  <si>
    <t>6-6</t>
  </si>
  <si>
    <t>稳压二极管</t>
  </si>
  <si>
    <t>3.3V / 0.5W ×5</t>
  </si>
  <si>
    <t>用于测点钳位。</t>
  </si>
  <si>
    <t>6-7</t>
  </si>
  <si>
    <t>I²C 上拉与串阻</t>
  </si>
  <si>
    <t>上拉 4.7K ×20 ｜ 串阻 100Ω ×10</t>
  </si>
  <si>
    <t>两条总线各一套（AFE 一条、传感一条，不可合并）。</t>
  </si>
  <si>
    <t>6-8</t>
  </si>
  <si>
    <t>AFE 采样线束</t>
  </si>
  <si>
    <t>5 芯线（4 串 + 1 参考）+ XH2.54-5P 防呆接头</t>
  </si>
  <si>
    <t>线束</t>
  </si>
  <si>
    <t>缺它单体电压一条都读不到。</t>
  </si>
  <si>
    <t>6-9</t>
  </si>
  <si>
    <t>施工件与接插件</t>
  </si>
  <si>
    <t>洞洞板 ｜ 排针 ｜ 杜邦线 ｜ 鳄鱼夹；XH2.54 端子线 5P ×2 + 8P ×1</t>
  </si>
  <si>
    <t>XH2.54 立创料号：5P = C9900017328，8P = C9900000730（防呆，插反不可能）。杜邦线仅限信号线。</t>
  </si>
  <si>
    <t>6-10</t>
  </si>
  <si>
    <t>安全用品</t>
  </si>
  <si>
    <t>干砂或灭火毯 ｜ 绝缘胶带 ｜ 护目镜</t>
  </si>
  <si>
    <t>各 1</t>
  </si>
  <si>
    <t>锂火不能用水，必须备干砂。</t>
  </si>
  <si>
    <t>6-11</t>
  </si>
  <si>
    <t>A 采样板阻容一套</t>
  </si>
  <si>
    <t>100Ω ×11 ｜ 1µF ×8 ｜ 0.1µF ×3 ｜ 4.7µF ×2 ｜ 470pF ×1 ｜ 0Ω ×1 ｜ 10K ×1 ｜ 499K ×1 ｜ 1K ×2 ｜ 微动按键 ×1</t>
  </si>
  <si>
    <t>画板 BOM 核对基准。多数已含在 6-1 / 6-5 / 6-7；本行真正需要新买的只有 470pF、499K、微动按键与 1-6 / 1-7 两项。</t>
  </si>
  <si>
    <t>项目物料总计（已定价部分，公式自动求和）</t>
  </si>
  <si>
    <t>参考量级（仅用于判断报价是否离谱，非目标值）：项目物料约 ¥650~950；AFE 链已按实查价锁定 = ¥249（芯片 5×¥35.77≈¥179 + A 采样板打样 ¥30 + B 功率端子 ¥40）；1-6 Rsns 与 1-7 待核价，量级 ≈¥10~20。仪表全借 = ¥0。</t>
  </si>
  <si>
    <t>⛔ 交期硬截止 2026-09-29 24:00：未下单则主路线切换 ④ 退路（见「③ 退路与预留」表），芯片 ¥179 可省。</t>
  </si>
  <si>
    <t>已有物料清单（请勿重复采购）</t>
  </si>
  <si>
    <t>以下物料项目组已具备；若采购部在其他渠道看到，无需下单。</t>
  </si>
  <si>
    <t>物料</t>
  </si>
  <si>
    <t>用途 / 说明</t>
  </si>
  <si>
    <t>状态</t>
  </si>
  <si>
    <t>7-1</t>
  </si>
  <si>
    <t>STM32F103ZET6 精英版 V2 开发板</t>
  </si>
  <si>
    <t>主控（LCD/FSMC、24C02、W25Q128、RTC 均在板上）</t>
  </si>
  <si>
    <t>已有</t>
  </si>
  <si>
    <t>7-2</t>
  </si>
  <si>
    <t>3.5" 电阻屏（FSMC 接口）</t>
  </si>
  <si>
    <t>显示。⛔ 不可改用 OLED（会占用测点 IO）</t>
  </si>
  <si>
    <t>7-3</t>
  </si>
  <si>
    <t>SHT30 温湿度传感器（I²C 0x44）</t>
  </si>
  <si>
    <t>环境温度，走独立传感总线</t>
  </si>
  <si>
    <t>7-4</t>
  </si>
  <si>
    <t>DHT11 温湿度传感器</t>
  </si>
  <si>
    <t>可插 U4 座做冗余（本版非必需）</t>
  </si>
  <si>
    <t>7-5</t>
  </si>
  <si>
    <t>ESP8266 WiFi 模块</t>
  </si>
  <si>
    <t>数据上报（加分项，本版不装）</t>
  </si>
  <si>
    <t>7-6</t>
  </si>
  <si>
    <t>MP1584 降压模块 + 12V/3A 适配器</t>
  </si>
  <si>
    <t>台架供电（不能给 4S 电池充电）</t>
  </si>
  <si>
    <t>7-7</t>
  </si>
  <si>
    <t>4½ 位万用表</t>
  </si>
  <si>
    <t>电压验收与标定的唯一依据</t>
  </si>
  <si>
    <t>已有，不买</t>
  </si>
  <si>
    <t>7-8</t>
  </si>
  <si>
    <t>电阻包 / 面包板 / 杜邦线</t>
  </si>
  <si>
    <t>补 10K、100Ω（无 5mΩ、无功率电阻）；杜邦线仅信号线</t>
  </si>
  <si>
    <t>7-9</t>
  </si>
  <si>
    <t>USB 转 TTL 模块</t>
  </si>
  <si>
    <t>ISP 救砖（板载 CH340）</t>
  </si>
  <si>
    <t>7-10</t>
  </si>
  <si>
    <t>STM32H743IIT 核心板</t>
  </si>
  <si>
    <t>已退掉</t>
  </si>
  <si>
    <t>已退</t>
  </si>
  <si>
    <t>退路备件、预留项与 P2 阶段物料</t>
  </si>
  <si>
    <t>⚠️ D1 采购时一并买「④ 退路备件」；「本版不买」与「P2 才买」两张表不要下单。</t>
  </si>
  <si>
    <t>分组</t>
  </si>
  <si>
    <t>规格 / 数量</t>
  </si>
  <si>
    <t>数量</t>
  </si>
  <si>
    <t>备注</t>
  </si>
  <si>
    <t>④ 退路备件（D1 一并买）</t>
  </si>
  <si>
    <t>LM393 / LM339 比较器</t>
  </si>
  <si>
    <t>DIP/SOP，2 只</t>
  </si>
  <si>
    <t>不用 AFE 时启用（切 ④ 方案）；整套 ≈¥15</t>
  </si>
  <si>
    <t>TL431 基准源</t>
  </si>
  <si>
    <t>同上</t>
  </si>
  <si>
    <t>精密薄膜电阻</t>
  </si>
  <si>
    <t>0.1% 43K ×5 + 10K ×5</t>
  </si>
  <si>
    <t>分压网络，精度决定门限</t>
  </si>
  <si>
    <t>电容 100nF</t>
  </si>
  <si>
    <t>×10</t>
  </si>
  <si>
    <t>CD4011 逻辑门</t>
  </si>
  <si>
    <t>×1</t>
  </si>
  <si>
    <t>线与到 2N7002</t>
  </si>
  <si>
    <t>本版不买（预留）</t>
  </si>
  <si>
    <t>第三路电芯温度 NTC</t>
  </si>
  <si>
    <t>接 PF3 / ADC3_IN9</t>
  </si>
  <si>
    <t>本版只买 2 路（1-4 已含 3 只）</t>
  </si>
  <si>
    <t>W25Q128 日志扩容</t>
  </si>
  <si>
    <t>板上已有 W25Q128，暂不扩容</t>
  </si>
  <si>
    <t>WiFi / OneNET 上报</t>
  </si>
  <si>
    <t>加分项</t>
  </si>
  <si>
    <t>P2 阶段才买</t>
  </si>
  <si>
    <t>BQ76952 EVM</t>
  </si>
  <si>
    <t>评估板</t>
  </si>
  <si>
    <t>⛔ 现在不要买</t>
  </si>
  <si>
    <t>直流接触器</t>
  </si>
  <si>
    <t>隔离 DC-DC / 隔离 CAN / 隔离 RS485</t>
  </si>
  <si>
    <t>4G 模块</t>
  </si>
  <si>
    <t>16S 电池组</t>
  </si>
  <si>
    <t>10 只</t>
    <phoneticPr fontId="8" type="noConversion"/>
  </si>
  <si>
    <t>已有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</si>
</sst>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.5"/>
      <name val="微软雅黑"/>
    </font>
    <font>
      <b/>
      <sz val="15"/>
      <color rgb="FF1F3864"/>
      <name val="微软雅黑"/>
      <family val="2"/>
      <charset val="134"/>
    </font>
    <font>
      <b/>
      <sz val="10.5"/>
      <color rgb="FFFFFFFF"/>
      <name val="微软雅黑"/>
      <family val="2"/>
      <charset val="134"/>
    </font>
    <font>
      <b/>
      <sz val="11"/>
      <color rgb="FF1F3864"/>
      <name val="微软雅黑"/>
      <family val="2"/>
      <charset val="134"/>
    </font>
    <font>
      <sz val="9.5"/>
      <color rgb="FF7F7F7F"/>
      <name val="微软雅黑"/>
      <family val="2"/>
      <charset val="134"/>
    </font>
    <font>
      <b/>
      <sz val="10.5"/>
      <color rgb="FF9C0006"/>
      <name val="微软雅黑"/>
      <family val="2"/>
      <charset val="134"/>
    </font>
    <font>
      <b/>
      <sz val="10.5"/>
      <name val="微软雅黑"/>
      <family val="2"/>
      <charset val="134"/>
    </font>
    <font>
      <sz val="10.5"/>
      <name val="微软雅黑"/>
      <family val="2"/>
      <charset val="134"/>
    </font>
    <font>
      <sz val="9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2E5C8A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E4"/>
        <bgColor indexed="64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4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0" fillId="0" borderId="0" xfId="0"/>
    <xf numFmtId="0" fontId="4" fillId="0" borderId="0" xfId="0" applyFont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right" vertical="center"/>
    </xf>
    <xf numFmtId="4" fontId="6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4" fontId="7" fillId="0" borderId="1" xfId="0" applyNumberFormat="1" applyFont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6"/>
  <sheetViews>
    <sheetView tabSelected="1" workbookViewId="0">
      <pane ySplit="5" topLeftCell="A6" activePane="bottomLeft" state="frozen"/>
      <selection pane="bottomLeft" activeCell="K41" sqref="K41"/>
    </sheetView>
  </sheetViews>
  <sheetFormatPr defaultRowHeight="15" x14ac:dyDescent="0.4"/>
  <cols>
    <col min="1" max="1" width="6" customWidth="1"/>
    <col min="2" max="2" width="11" customWidth="1"/>
    <col min="3" max="3" width="20" customWidth="1"/>
    <col min="4" max="4" width="34" customWidth="1"/>
    <col min="5" max="5" width="13" customWidth="1"/>
    <col min="6" max="6" width="12" customWidth="1"/>
    <col min="7" max="7" width="7" customWidth="1"/>
    <col min="8" max="8" width="6" customWidth="1"/>
    <col min="9" max="9" width="22" customWidth="1"/>
    <col min="10" max="10" width="8" customWidth="1"/>
    <col min="11" max="11" width="9" customWidth="1"/>
    <col min="12" max="12" width="40" customWidth="1"/>
    <col min="13" max="13" width="13" customWidth="1"/>
    <col min="14" max="14" width="8" customWidth="1"/>
    <col min="15" max="15" width="9" customWidth="1"/>
  </cols>
  <sheetData>
    <row r="1" spans="1:15" ht="21.5" x14ac:dyDescent="0.4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5" x14ac:dyDescent="0.4">
      <c r="A2" s="8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spans="1:15" x14ac:dyDescent="0.4">
      <c r="A3" s="8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</row>
    <row r="4" spans="1:15" x14ac:dyDescent="0.4">
      <c r="A4" s="8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spans="1:15" ht="30" x14ac:dyDescent="0.4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12</v>
      </c>
      <c r="J5" s="1" t="s">
        <v>13</v>
      </c>
      <c r="K5" s="1" t="s">
        <v>14</v>
      </c>
      <c r="L5" s="1" t="s">
        <v>15</v>
      </c>
      <c r="M5" s="1" t="s">
        <v>16</v>
      </c>
      <c r="N5" s="1" t="s">
        <v>17</v>
      </c>
      <c r="O5" s="1" t="s">
        <v>18</v>
      </c>
    </row>
    <row r="6" spans="1:15" ht="16.5" x14ac:dyDescent="0.4">
      <c r="A6" s="9" t="s">
        <v>19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</row>
    <row r="7" spans="1:15" ht="60" x14ac:dyDescent="0.4">
      <c r="A7" s="3" t="s">
        <v>20</v>
      </c>
      <c r="B7" s="3" t="s">
        <v>21</v>
      </c>
      <c r="C7" s="2" t="s">
        <v>22</v>
      </c>
      <c r="D7" s="2" t="s">
        <v>23</v>
      </c>
      <c r="E7" s="3" t="s">
        <v>24</v>
      </c>
      <c r="F7" s="3" t="s">
        <v>25</v>
      </c>
      <c r="G7" s="3">
        <v>5</v>
      </c>
      <c r="H7" s="3" t="s">
        <v>26</v>
      </c>
      <c r="I7" s="3" t="s">
        <v>27</v>
      </c>
      <c r="J7" s="4">
        <v>11.57</v>
      </c>
      <c r="K7" s="4">
        <f>J7*G7</f>
        <v>57.85</v>
      </c>
      <c r="L7" s="2" t="s">
        <v>28</v>
      </c>
      <c r="M7" s="5"/>
      <c r="N7" s="5"/>
      <c r="O7" s="5"/>
    </row>
    <row r="8" spans="1:15" ht="30" x14ac:dyDescent="0.4">
      <c r="A8" s="3" t="s">
        <v>29</v>
      </c>
      <c r="B8" s="3" t="s">
        <v>21</v>
      </c>
      <c r="C8" s="2" t="s">
        <v>30</v>
      </c>
      <c r="D8" s="2" t="s">
        <v>31</v>
      </c>
      <c r="E8" s="3" t="s">
        <v>32</v>
      </c>
      <c r="F8" s="3" t="s">
        <v>33</v>
      </c>
      <c r="G8" s="3">
        <v>1</v>
      </c>
      <c r="H8" s="3" t="s">
        <v>34</v>
      </c>
      <c r="I8" s="3" t="s">
        <v>35</v>
      </c>
      <c r="J8" s="4">
        <v>4.6399999999999997</v>
      </c>
      <c r="K8" s="4">
        <f>J8*G8</f>
        <v>4.6399999999999997</v>
      </c>
      <c r="L8" s="2" t="s">
        <v>36</v>
      </c>
      <c r="M8" s="5"/>
      <c r="N8" s="5"/>
      <c r="O8" s="5"/>
    </row>
    <row r="9" spans="1:15" ht="30" x14ac:dyDescent="0.4">
      <c r="A9" s="3" t="s">
        <v>37</v>
      </c>
      <c r="B9" s="3" t="s">
        <v>21</v>
      </c>
      <c r="C9" s="2" t="s">
        <v>38</v>
      </c>
      <c r="D9" s="2" t="s">
        <v>39</v>
      </c>
      <c r="E9" s="3" t="s">
        <v>32</v>
      </c>
      <c r="F9" s="3" t="s">
        <v>40</v>
      </c>
      <c r="G9" s="3">
        <v>10</v>
      </c>
      <c r="H9" s="3" t="s">
        <v>41</v>
      </c>
      <c r="I9" s="13" t="s">
        <v>277</v>
      </c>
      <c r="J9" s="4">
        <v>0.4</v>
      </c>
      <c r="K9" s="14">
        <v>4</v>
      </c>
      <c r="L9" s="2" t="s">
        <v>42</v>
      </c>
      <c r="M9" s="5"/>
      <c r="N9" s="5"/>
      <c r="O9" s="5"/>
    </row>
    <row r="10" spans="1:15" ht="30" x14ac:dyDescent="0.4">
      <c r="A10" s="3" t="s">
        <v>43</v>
      </c>
      <c r="B10" s="3" t="s">
        <v>21</v>
      </c>
      <c r="C10" s="2" t="s">
        <v>44</v>
      </c>
      <c r="D10" s="2" t="s">
        <v>45</v>
      </c>
      <c r="E10" s="3" t="s">
        <v>32</v>
      </c>
      <c r="F10" s="3" t="s">
        <v>46</v>
      </c>
      <c r="G10" s="3">
        <v>10</v>
      </c>
      <c r="H10" s="3" t="s">
        <v>41</v>
      </c>
      <c r="I10" s="3" t="s">
        <v>47</v>
      </c>
      <c r="J10" s="4">
        <v>0.28000000000000003</v>
      </c>
      <c r="K10" s="4">
        <f>J10*G10</f>
        <v>2.8000000000000003</v>
      </c>
      <c r="L10" s="2" t="s">
        <v>48</v>
      </c>
      <c r="M10" s="5"/>
      <c r="N10" s="5"/>
      <c r="O10" s="5"/>
    </row>
    <row r="11" spans="1:15" ht="75" x14ac:dyDescent="0.4">
      <c r="A11" s="3" t="s">
        <v>49</v>
      </c>
      <c r="B11" s="3" t="s">
        <v>21</v>
      </c>
      <c r="C11" s="2" t="s">
        <v>50</v>
      </c>
      <c r="D11" s="2" t="s">
        <v>51</v>
      </c>
      <c r="E11" s="3" t="s">
        <v>52</v>
      </c>
      <c r="F11" s="3" t="s">
        <v>53</v>
      </c>
      <c r="G11" s="3">
        <v>2</v>
      </c>
      <c r="H11" s="3" t="s">
        <v>41</v>
      </c>
      <c r="I11" s="3" t="s">
        <v>54</v>
      </c>
      <c r="J11" s="4">
        <v>80.45</v>
      </c>
      <c r="K11" s="4">
        <f>J11*G11</f>
        <v>160.9</v>
      </c>
      <c r="L11" s="2" t="s">
        <v>55</v>
      </c>
      <c r="M11" s="5"/>
      <c r="N11" s="5"/>
      <c r="O11" s="5"/>
    </row>
    <row r="12" spans="1:15" ht="45" x14ac:dyDescent="0.4">
      <c r="A12" s="3" t="s">
        <v>56</v>
      </c>
      <c r="B12" s="3" t="s">
        <v>21</v>
      </c>
      <c r="C12" s="2" t="s">
        <v>57</v>
      </c>
      <c r="D12" s="2" t="s">
        <v>58</v>
      </c>
      <c r="E12" s="3" t="s">
        <v>32</v>
      </c>
      <c r="F12" s="3" t="s">
        <v>59</v>
      </c>
      <c r="G12" s="3">
        <v>2</v>
      </c>
      <c r="H12" s="3" t="s">
        <v>41</v>
      </c>
      <c r="I12" s="3" t="s">
        <v>60</v>
      </c>
      <c r="J12" s="4">
        <v>9.4</v>
      </c>
      <c r="K12" s="4">
        <f>J12*G12</f>
        <v>18.8</v>
      </c>
      <c r="L12" s="2" t="s">
        <v>61</v>
      </c>
      <c r="M12" s="5"/>
      <c r="N12" s="5"/>
      <c r="O12" s="5"/>
    </row>
    <row r="13" spans="1:15" ht="16.5" x14ac:dyDescent="0.4">
      <c r="A13" s="9" t="s">
        <v>62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spans="1:15" ht="30" x14ac:dyDescent="0.4">
      <c r="A14" s="3" t="s">
        <v>63</v>
      </c>
      <c r="B14" s="3" t="s">
        <v>64</v>
      </c>
      <c r="C14" s="2" t="s">
        <v>65</v>
      </c>
      <c r="D14" s="2" t="s">
        <v>66</v>
      </c>
      <c r="E14" s="3" t="s">
        <v>32</v>
      </c>
      <c r="F14" s="3" t="s">
        <v>67</v>
      </c>
      <c r="G14" s="3">
        <v>4</v>
      </c>
      <c r="H14" s="3" t="s">
        <v>41</v>
      </c>
      <c r="I14" s="3" t="s">
        <v>68</v>
      </c>
      <c r="J14" s="4">
        <v>6.73</v>
      </c>
      <c r="K14" s="4">
        <f>J14*G14</f>
        <v>26.92</v>
      </c>
      <c r="L14" s="2" t="s">
        <v>69</v>
      </c>
      <c r="M14" s="5"/>
      <c r="N14" s="5"/>
      <c r="O14" s="5"/>
    </row>
    <row r="15" spans="1:15" x14ac:dyDescent="0.4">
      <c r="A15" s="3" t="s">
        <v>70</v>
      </c>
      <c r="B15" s="3" t="s">
        <v>64</v>
      </c>
      <c r="C15" s="2" t="s">
        <v>71</v>
      </c>
      <c r="D15" s="2" t="s">
        <v>72</v>
      </c>
      <c r="E15" s="3" t="s">
        <v>32</v>
      </c>
      <c r="F15" s="3" t="s">
        <v>73</v>
      </c>
      <c r="G15" s="3">
        <v>50</v>
      </c>
      <c r="H15" s="3" t="s">
        <v>41</v>
      </c>
      <c r="I15" s="3" t="s">
        <v>74</v>
      </c>
      <c r="J15" s="4">
        <v>0.12</v>
      </c>
      <c r="K15" s="4">
        <f>J15*G15</f>
        <v>6</v>
      </c>
      <c r="L15" s="2" t="s">
        <v>75</v>
      </c>
      <c r="M15" s="5"/>
      <c r="N15" s="5"/>
      <c r="O15" s="5"/>
    </row>
    <row r="16" spans="1:15" x14ac:dyDescent="0.4">
      <c r="A16" s="3" t="s">
        <v>76</v>
      </c>
      <c r="B16" s="3" t="s">
        <v>64</v>
      </c>
      <c r="C16" s="2" t="s">
        <v>77</v>
      </c>
      <c r="D16" s="2" t="s">
        <v>78</v>
      </c>
      <c r="E16" s="3" t="s">
        <v>32</v>
      </c>
      <c r="F16" s="3" t="s">
        <v>73</v>
      </c>
      <c r="G16" s="3">
        <v>10</v>
      </c>
      <c r="H16" s="3" t="s">
        <v>41</v>
      </c>
      <c r="I16" s="3" t="s">
        <v>79</v>
      </c>
      <c r="J16" s="4">
        <v>0.37</v>
      </c>
      <c r="K16" s="4">
        <f>J16*G16</f>
        <v>3.7</v>
      </c>
      <c r="L16" s="2" t="s">
        <v>80</v>
      </c>
      <c r="M16" s="5"/>
      <c r="N16" s="5"/>
      <c r="O16" s="5"/>
    </row>
    <row r="17" spans="1:15" x14ac:dyDescent="0.4">
      <c r="A17" s="3" t="s">
        <v>81</v>
      </c>
      <c r="B17" s="3" t="s">
        <v>64</v>
      </c>
      <c r="C17" s="2" t="s">
        <v>82</v>
      </c>
      <c r="D17" s="2" t="s">
        <v>83</v>
      </c>
      <c r="E17" s="3" t="s">
        <v>32</v>
      </c>
      <c r="F17" s="3" t="s">
        <v>84</v>
      </c>
      <c r="G17" s="3">
        <v>5</v>
      </c>
      <c r="H17" s="3" t="s">
        <v>41</v>
      </c>
      <c r="I17" s="3" t="s">
        <v>60</v>
      </c>
      <c r="J17" s="4">
        <v>0.77</v>
      </c>
      <c r="K17" s="4">
        <f>J17*G17</f>
        <v>3.85</v>
      </c>
      <c r="L17" s="2" t="s">
        <v>85</v>
      </c>
      <c r="M17" s="5"/>
      <c r="N17" s="5"/>
      <c r="O17" s="5"/>
    </row>
    <row r="18" spans="1:15" x14ac:dyDescent="0.4">
      <c r="A18" s="3" t="s">
        <v>86</v>
      </c>
      <c r="B18" s="3" t="s">
        <v>64</v>
      </c>
      <c r="C18" s="2" t="s">
        <v>87</v>
      </c>
      <c r="D18" s="2" t="s">
        <v>88</v>
      </c>
      <c r="E18" s="3" t="s">
        <v>32</v>
      </c>
      <c r="F18" s="3" t="s">
        <v>89</v>
      </c>
      <c r="G18" s="3">
        <v>5</v>
      </c>
      <c r="H18" s="3" t="s">
        <v>90</v>
      </c>
      <c r="I18" s="3" t="s">
        <v>91</v>
      </c>
      <c r="J18" s="4">
        <v>1.5940000000000001</v>
      </c>
      <c r="K18" s="4">
        <f>J18*G18</f>
        <v>7.9700000000000006</v>
      </c>
      <c r="L18" s="2" t="s">
        <v>92</v>
      </c>
      <c r="M18" s="5"/>
      <c r="N18" s="5"/>
      <c r="O18" s="5"/>
    </row>
    <row r="19" spans="1:15" ht="30" x14ac:dyDescent="0.4">
      <c r="A19" s="3" t="s">
        <v>93</v>
      </c>
      <c r="B19" s="3" t="s">
        <v>64</v>
      </c>
      <c r="C19" s="2" t="s">
        <v>94</v>
      </c>
      <c r="D19" s="2" t="s">
        <v>95</v>
      </c>
      <c r="E19" s="3" t="s">
        <v>32</v>
      </c>
      <c r="F19" s="3" t="s">
        <v>73</v>
      </c>
      <c r="G19" s="3">
        <v>20</v>
      </c>
      <c r="H19" s="3" t="s">
        <v>41</v>
      </c>
      <c r="I19" s="3" t="s">
        <v>54</v>
      </c>
      <c r="J19" s="4">
        <v>0.18</v>
      </c>
      <c r="K19" s="4">
        <f>J19*G19</f>
        <v>3.5999999999999996</v>
      </c>
      <c r="L19" s="2" t="s">
        <v>96</v>
      </c>
      <c r="M19" s="5"/>
      <c r="N19" s="5"/>
      <c r="O19" s="5"/>
    </row>
    <row r="20" spans="1:15" x14ac:dyDescent="0.4">
      <c r="A20" s="3" t="s">
        <v>97</v>
      </c>
      <c r="B20" s="3" t="s">
        <v>64</v>
      </c>
      <c r="C20" s="2" t="s">
        <v>98</v>
      </c>
      <c r="D20" s="2" t="s">
        <v>99</v>
      </c>
      <c r="E20" s="3" t="s">
        <v>32</v>
      </c>
      <c r="F20" s="3" t="s">
        <v>100</v>
      </c>
      <c r="G20" s="3">
        <v>5</v>
      </c>
      <c r="H20" s="3" t="s">
        <v>41</v>
      </c>
      <c r="I20" s="3" t="s">
        <v>54</v>
      </c>
      <c r="J20" s="4">
        <v>1.1399999999999999</v>
      </c>
      <c r="K20" s="4">
        <f>J20*G20</f>
        <v>5.6999999999999993</v>
      </c>
      <c r="L20" s="2" t="s">
        <v>101</v>
      </c>
      <c r="M20" s="5"/>
      <c r="N20" s="5"/>
      <c r="O20" s="5"/>
    </row>
    <row r="21" spans="1:15" ht="30" x14ac:dyDescent="0.4">
      <c r="A21" s="3" t="s">
        <v>102</v>
      </c>
      <c r="B21" s="3" t="s">
        <v>64</v>
      </c>
      <c r="C21" s="2" t="s">
        <v>103</v>
      </c>
      <c r="D21" s="2" t="s">
        <v>104</v>
      </c>
      <c r="E21" s="3" t="s">
        <v>32</v>
      </c>
      <c r="F21" s="3" t="s">
        <v>105</v>
      </c>
      <c r="G21" s="3">
        <v>1</v>
      </c>
      <c r="H21" s="3" t="s">
        <v>90</v>
      </c>
      <c r="I21" s="3" t="s">
        <v>106</v>
      </c>
      <c r="J21" s="14" t="s">
        <v>278</v>
      </c>
      <c r="K21" s="4"/>
      <c r="L21" s="2" t="s">
        <v>107</v>
      </c>
      <c r="M21" s="5"/>
      <c r="N21" s="5"/>
      <c r="O21" s="5"/>
    </row>
    <row r="22" spans="1:15" ht="30" x14ac:dyDescent="0.4">
      <c r="A22" s="3" t="s">
        <v>108</v>
      </c>
      <c r="B22" s="3" t="s">
        <v>64</v>
      </c>
      <c r="C22" s="2" t="s">
        <v>109</v>
      </c>
      <c r="D22" s="2" t="s">
        <v>110</v>
      </c>
      <c r="E22" s="3" t="s">
        <v>32</v>
      </c>
      <c r="F22" s="3" t="s">
        <v>32</v>
      </c>
      <c r="G22" s="3">
        <v>1</v>
      </c>
      <c r="H22" s="3" t="s">
        <v>90</v>
      </c>
      <c r="I22" s="3" t="s">
        <v>106</v>
      </c>
      <c r="J22" s="4">
        <v>14.38</v>
      </c>
      <c r="K22" s="4">
        <v>14.38</v>
      </c>
      <c r="L22" s="2" t="s">
        <v>111</v>
      </c>
      <c r="M22" s="5"/>
      <c r="N22" s="5"/>
      <c r="O22" s="5"/>
    </row>
    <row r="23" spans="1:15" ht="16.5" x14ac:dyDescent="0.4">
      <c r="A23" s="9" t="s">
        <v>112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spans="1:15" ht="30" x14ac:dyDescent="0.4">
      <c r="A24" s="3" t="s">
        <v>113</v>
      </c>
      <c r="B24" s="3" t="s">
        <v>114</v>
      </c>
      <c r="C24" s="2" t="s">
        <v>115</v>
      </c>
      <c r="D24" s="2" t="s">
        <v>116</v>
      </c>
      <c r="E24" s="3" t="s">
        <v>32</v>
      </c>
      <c r="F24" s="3" t="s">
        <v>117</v>
      </c>
      <c r="G24" s="3">
        <v>1</v>
      </c>
      <c r="H24" s="3" t="s">
        <v>90</v>
      </c>
      <c r="I24" s="3" t="s">
        <v>118</v>
      </c>
      <c r="J24" s="4"/>
      <c r="K24" s="4"/>
      <c r="L24" s="2" t="s">
        <v>119</v>
      </c>
      <c r="M24" s="5"/>
      <c r="N24" s="5"/>
      <c r="O24" s="5"/>
    </row>
    <row r="25" spans="1:15" ht="30" x14ac:dyDescent="0.4">
      <c r="A25" s="3" t="s">
        <v>120</v>
      </c>
      <c r="B25" s="3" t="s">
        <v>114</v>
      </c>
      <c r="C25" s="2" t="s">
        <v>121</v>
      </c>
      <c r="D25" s="2" t="s">
        <v>122</v>
      </c>
      <c r="E25" s="3" t="s">
        <v>32</v>
      </c>
      <c r="F25" s="3" t="s">
        <v>123</v>
      </c>
      <c r="G25" s="3">
        <v>1</v>
      </c>
      <c r="H25" s="3" t="s">
        <v>124</v>
      </c>
      <c r="I25" s="3" t="s">
        <v>125</v>
      </c>
      <c r="J25" s="4"/>
      <c r="K25" s="4"/>
      <c r="L25" s="2" t="s">
        <v>126</v>
      </c>
      <c r="M25" s="5"/>
      <c r="N25" s="5"/>
      <c r="O25" s="5"/>
    </row>
    <row r="26" spans="1:15" ht="30" x14ac:dyDescent="0.4">
      <c r="A26" s="3" t="s">
        <v>127</v>
      </c>
      <c r="B26" s="3" t="s">
        <v>114</v>
      </c>
      <c r="C26" s="2" t="s">
        <v>128</v>
      </c>
      <c r="D26" s="2" t="s">
        <v>129</v>
      </c>
      <c r="E26" s="3" t="s">
        <v>32</v>
      </c>
      <c r="F26" s="3" t="s">
        <v>32</v>
      </c>
      <c r="G26" s="3">
        <v>1</v>
      </c>
      <c r="H26" s="3" t="s">
        <v>90</v>
      </c>
      <c r="I26" s="3" t="s">
        <v>106</v>
      </c>
      <c r="J26" s="4"/>
      <c r="K26" s="4"/>
      <c r="L26" s="2" t="s">
        <v>130</v>
      </c>
      <c r="M26" s="5"/>
      <c r="N26" s="5"/>
      <c r="O26" s="5"/>
    </row>
    <row r="27" spans="1:15" ht="30" x14ac:dyDescent="0.4">
      <c r="A27" s="3" t="s">
        <v>131</v>
      </c>
      <c r="B27" s="3" t="s">
        <v>114</v>
      </c>
      <c r="C27" s="2" t="s">
        <v>132</v>
      </c>
      <c r="D27" s="2" t="s">
        <v>133</v>
      </c>
      <c r="E27" s="3" t="s">
        <v>32</v>
      </c>
      <c r="F27" s="3" t="s">
        <v>32</v>
      </c>
      <c r="G27" s="3">
        <v>1</v>
      </c>
      <c r="H27" s="3" t="s">
        <v>90</v>
      </c>
      <c r="I27" s="3" t="s">
        <v>106</v>
      </c>
      <c r="J27" s="4"/>
      <c r="K27" s="4"/>
      <c r="L27" s="2" t="s">
        <v>134</v>
      </c>
      <c r="M27" s="5"/>
      <c r="N27" s="5"/>
      <c r="O27" s="5"/>
    </row>
    <row r="28" spans="1:15" x14ac:dyDescent="0.4">
      <c r="A28" s="3" t="s">
        <v>135</v>
      </c>
      <c r="B28" s="3" t="s">
        <v>114</v>
      </c>
      <c r="C28" s="2" t="s">
        <v>136</v>
      </c>
      <c r="D28" s="2" t="s">
        <v>137</v>
      </c>
      <c r="E28" s="3" t="s">
        <v>32</v>
      </c>
      <c r="F28" s="3" t="s">
        <v>32</v>
      </c>
      <c r="G28" s="3">
        <v>1</v>
      </c>
      <c r="H28" s="3" t="s">
        <v>90</v>
      </c>
      <c r="I28" s="3" t="s">
        <v>106</v>
      </c>
      <c r="J28" s="4"/>
      <c r="K28" s="4"/>
      <c r="L28" s="2" t="s">
        <v>138</v>
      </c>
      <c r="M28" s="5"/>
      <c r="N28" s="5"/>
      <c r="O28" s="5"/>
    </row>
    <row r="29" spans="1:15" ht="16.5" x14ac:dyDescent="0.4">
      <c r="A29" s="9" t="s">
        <v>139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</row>
    <row r="30" spans="1:15" ht="30" x14ac:dyDescent="0.4">
      <c r="A30" s="3" t="s">
        <v>140</v>
      </c>
      <c r="B30" s="3" t="s">
        <v>141</v>
      </c>
      <c r="C30" s="2" t="s">
        <v>142</v>
      </c>
      <c r="D30" s="2" t="s">
        <v>143</v>
      </c>
      <c r="E30" s="3" t="s">
        <v>32</v>
      </c>
      <c r="F30" s="3" t="s">
        <v>144</v>
      </c>
      <c r="G30" s="3">
        <v>1</v>
      </c>
      <c r="H30" s="3" t="s">
        <v>34</v>
      </c>
      <c r="I30" s="3" t="s">
        <v>35</v>
      </c>
      <c r="J30" s="4">
        <v>7.52</v>
      </c>
      <c r="K30" s="4">
        <f>J30*G30</f>
        <v>7.52</v>
      </c>
      <c r="L30" s="2" t="s">
        <v>145</v>
      </c>
      <c r="M30" s="5"/>
      <c r="N30" s="5"/>
      <c r="O30" s="5"/>
    </row>
    <row r="31" spans="1:15" ht="30" x14ac:dyDescent="0.4">
      <c r="A31" s="3" t="s">
        <v>146</v>
      </c>
      <c r="B31" s="3" t="s">
        <v>141</v>
      </c>
      <c r="C31" s="2" t="s">
        <v>147</v>
      </c>
      <c r="D31" s="2" t="s">
        <v>148</v>
      </c>
      <c r="E31" s="3" t="s">
        <v>32</v>
      </c>
      <c r="F31" s="3" t="s">
        <v>32</v>
      </c>
      <c r="G31" s="3">
        <v>1</v>
      </c>
      <c r="H31" s="3" t="s">
        <v>34</v>
      </c>
      <c r="I31" s="3" t="s">
        <v>35</v>
      </c>
      <c r="J31" s="4">
        <v>34.01</v>
      </c>
      <c r="K31" s="4">
        <v>34.01</v>
      </c>
      <c r="L31" s="2" t="s">
        <v>149</v>
      </c>
      <c r="M31" s="5"/>
      <c r="N31" s="5"/>
      <c r="O31" s="5"/>
    </row>
    <row r="32" spans="1:15" ht="16.5" x14ac:dyDescent="0.4">
      <c r="A32" s="9" t="s">
        <v>150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</row>
    <row r="33" spans="1:15" ht="30" x14ac:dyDescent="0.4">
      <c r="A33" s="3" t="s">
        <v>151</v>
      </c>
      <c r="B33" s="3" t="s">
        <v>152</v>
      </c>
      <c r="C33" s="2" t="s">
        <v>153</v>
      </c>
      <c r="D33" s="2" t="s">
        <v>154</v>
      </c>
      <c r="E33" s="3" t="s">
        <v>32</v>
      </c>
      <c r="F33" s="3" t="s">
        <v>105</v>
      </c>
      <c r="G33" s="3">
        <v>1</v>
      </c>
      <c r="H33" s="3" t="s">
        <v>90</v>
      </c>
      <c r="I33" s="3" t="s">
        <v>106</v>
      </c>
      <c r="J33" s="14" t="s">
        <v>278</v>
      </c>
      <c r="K33" s="4"/>
      <c r="L33" s="2" t="s">
        <v>155</v>
      </c>
      <c r="M33" s="5"/>
      <c r="N33" s="5"/>
      <c r="O33" s="5"/>
    </row>
    <row r="34" spans="1:15" x14ac:dyDescent="0.4">
      <c r="A34" s="3" t="s">
        <v>156</v>
      </c>
      <c r="B34" s="3" t="s">
        <v>152</v>
      </c>
      <c r="C34" s="2" t="s">
        <v>157</v>
      </c>
      <c r="D34" s="2" t="s">
        <v>158</v>
      </c>
      <c r="E34" s="3" t="s">
        <v>32</v>
      </c>
      <c r="F34" s="3" t="s">
        <v>105</v>
      </c>
      <c r="G34" s="3">
        <v>1</v>
      </c>
      <c r="H34" s="3" t="s">
        <v>90</v>
      </c>
      <c r="I34" s="3" t="s">
        <v>106</v>
      </c>
      <c r="J34" s="14" t="s">
        <v>278</v>
      </c>
      <c r="K34" s="4"/>
      <c r="L34" s="2" t="s">
        <v>159</v>
      </c>
      <c r="M34" s="5"/>
      <c r="N34" s="5"/>
      <c r="O34" s="5"/>
    </row>
    <row r="35" spans="1:15" ht="30" x14ac:dyDescent="0.4">
      <c r="A35" s="3" t="s">
        <v>160</v>
      </c>
      <c r="B35" s="3" t="s">
        <v>152</v>
      </c>
      <c r="C35" s="2" t="s">
        <v>161</v>
      </c>
      <c r="D35" s="2" t="s">
        <v>162</v>
      </c>
      <c r="E35" s="3" t="s">
        <v>32</v>
      </c>
      <c r="F35" s="3" t="s">
        <v>105</v>
      </c>
      <c r="G35" s="3">
        <v>1</v>
      </c>
      <c r="H35" s="3" t="s">
        <v>90</v>
      </c>
      <c r="I35" s="3" t="s">
        <v>163</v>
      </c>
      <c r="J35" s="4"/>
      <c r="K35" s="4"/>
      <c r="L35" s="2" t="s">
        <v>164</v>
      </c>
      <c r="M35" s="5"/>
      <c r="N35" s="5"/>
      <c r="O35" s="5"/>
    </row>
    <row r="36" spans="1:15" x14ac:dyDescent="0.4">
      <c r="A36" s="3" t="s">
        <v>165</v>
      </c>
      <c r="B36" s="3" t="s">
        <v>152</v>
      </c>
      <c r="C36" s="2" t="s">
        <v>166</v>
      </c>
      <c r="D36" s="2" t="s">
        <v>167</v>
      </c>
      <c r="E36" s="3" t="s">
        <v>32</v>
      </c>
      <c r="F36" s="3" t="s">
        <v>105</v>
      </c>
      <c r="G36" s="3">
        <v>1</v>
      </c>
      <c r="H36" s="3" t="s">
        <v>90</v>
      </c>
      <c r="I36" s="3" t="s">
        <v>106</v>
      </c>
      <c r="J36" s="14" t="s">
        <v>278</v>
      </c>
      <c r="K36" s="4"/>
      <c r="L36" s="2" t="s">
        <v>168</v>
      </c>
      <c r="M36" s="5"/>
      <c r="N36" s="5"/>
      <c r="O36" s="5"/>
    </row>
    <row r="37" spans="1:15" ht="45" x14ac:dyDescent="0.4">
      <c r="A37" s="3" t="s">
        <v>169</v>
      </c>
      <c r="B37" s="3" t="s">
        <v>152</v>
      </c>
      <c r="C37" s="2" t="s">
        <v>170</v>
      </c>
      <c r="D37" s="2" t="s">
        <v>171</v>
      </c>
      <c r="E37" s="3" t="s">
        <v>32</v>
      </c>
      <c r="F37" s="3" t="s">
        <v>172</v>
      </c>
      <c r="G37" s="3">
        <v>1</v>
      </c>
      <c r="H37" s="3" t="s">
        <v>90</v>
      </c>
      <c r="I37" s="3" t="s">
        <v>106</v>
      </c>
      <c r="J37" s="4"/>
      <c r="K37" s="4"/>
      <c r="L37" s="2" t="s">
        <v>173</v>
      </c>
      <c r="M37" s="5"/>
      <c r="N37" s="5"/>
      <c r="O37" s="5"/>
    </row>
    <row r="38" spans="1:15" x14ac:dyDescent="0.4">
      <c r="A38" s="3" t="s">
        <v>174</v>
      </c>
      <c r="B38" s="3" t="s">
        <v>152</v>
      </c>
      <c r="C38" s="2" t="s">
        <v>175</v>
      </c>
      <c r="D38" s="2" t="s">
        <v>176</v>
      </c>
      <c r="E38" s="3" t="s">
        <v>32</v>
      </c>
      <c r="F38" s="3" t="s">
        <v>32</v>
      </c>
      <c r="G38" s="3">
        <v>1</v>
      </c>
      <c r="H38" s="3" t="s">
        <v>90</v>
      </c>
      <c r="I38" s="3" t="s">
        <v>106</v>
      </c>
      <c r="J38" s="4">
        <v>1.02</v>
      </c>
      <c r="K38" s="4">
        <v>1.02</v>
      </c>
      <c r="L38" s="2" t="s">
        <v>177</v>
      </c>
      <c r="M38" s="5"/>
      <c r="N38" s="5"/>
      <c r="O38" s="5"/>
    </row>
    <row r="39" spans="1:15" ht="30" x14ac:dyDescent="0.4">
      <c r="A39" s="3" t="s">
        <v>178</v>
      </c>
      <c r="B39" s="3" t="s">
        <v>152</v>
      </c>
      <c r="C39" s="2" t="s">
        <v>179</v>
      </c>
      <c r="D39" s="2" t="s">
        <v>180</v>
      </c>
      <c r="E39" s="3" t="s">
        <v>32</v>
      </c>
      <c r="F39" s="3" t="s">
        <v>105</v>
      </c>
      <c r="G39" s="3">
        <v>1</v>
      </c>
      <c r="H39" s="3" t="s">
        <v>90</v>
      </c>
      <c r="I39" s="3" t="s">
        <v>106</v>
      </c>
      <c r="J39" s="14" t="s">
        <v>278</v>
      </c>
      <c r="K39" s="4"/>
      <c r="L39" s="2" t="s">
        <v>181</v>
      </c>
      <c r="M39" s="5"/>
      <c r="N39" s="5"/>
      <c r="O39" s="5"/>
    </row>
    <row r="40" spans="1:15" ht="30" x14ac:dyDescent="0.4">
      <c r="A40" s="3" t="s">
        <v>182</v>
      </c>
      <c r="B40" s="3" t="s">
        <v>152</v>
      </c>
      <c r="C40" s="2" t="s">
        <v>183</v>
      </c>
      <c r="D40" s="2" t="s">
        <v>184</v>
      </c>
      <c r="E40" s="3" t="s">
        <v>32</v>
      </c>
      <c r="F40" s="3" t="s">
        <v>185</v>
      </c>
      <c r="G40" s="3">
        <v>1</v>
      </c>
      <c r="H40" s="3" t="s">
        <v>90</v>
      </c>
      <c r="I40" s="3" t="s">
        <v>106</v>
      </c>
      <c r="J40" s="4">
        <v>10</v>
      </c>
      <c r="K40" s="4"/>
      <c r="L40" s="2" t="s">
        <v>186</v>
      </c>
      <c r="M40" s="5"/>
      <c r="N40" s="5"/>
      <c r="O40" s="5"/>
    </row>
    <row r="41" spans="1:15" ht="45" x14ac:dyDescent="0.4">
      <c r="A41" s="3" t="s">
        <v>187</v>
      </c>
      <c r="B41" s="3" t="s">
        <v>152</v>
      </c>
      <c r="C41" s="2" t="s">
        <v>188</v>
      </c>
      <c r="D41" s="2" t="s">
        <v>189</v>
      </c>
      <c r="E41" s="3" t="s">
        <v>32</v>
      </c>
      <c r="F41" s="3" t="s">
        <v>32</v>
      </c>
      <c r="G41" s="3">
        <v>1</v>
      </c>
      <c r="H41" s="3" t="s">
        <v>90</v>
      </c>
      <c r="I41" s="3" t="s">
        <v>106</v>
      </c>
      <c r="J41" s="14">
        <v>5</v>
      </c>
      <c r="K41" s="4"/>
      <c r="L41" s="2" t="s">
        <v>190</v>
      </c>
      <c r="M41" s="5"/>
      <c r="N41" s="5"/>
      <c r="O41" s="5"/>
    </row>
    <row r="42" spans="1:15" x14ac:dyDescent="0.4">
      <c r="A42" s="3" t="s">
        <v>191</v>
      </c>
      <c r="B42" s="3" t="s">
        <v>152</v>
      </c>
      <c r="C42" s="2" t="s">
        <v>192</v>
      </c>
      <c r="D42" s="2" t="s">
        <v>193</v>
      </c>
      <c r="E42" s="3" t="s">
        <v>32</v>
      </c>
      <c r="F42" s="3" t="s">
        <v>32</v>
      </c>
      <c r="G42" s="3">
        <v>1</v>
      </c>
      <c r="H42" s="3" t="s">
        <v>90</v>
      </c>
      <c r="I42" s="3" t="s">
        <v>194</v>
      </c>
      <c r="J42" s="4"/>
      <c r="K42" s="4"/>
      <c r="L42" s="2" t="s">
        <v>195</v>
      </c>
      <c r="M42" s="5"/>
      <c r="N42" s="5"/>
      <c r="O42" s="5"/>
    </row>
    <row r="43" spans="1:15" ht="45" x14ac:dyDescent="0.4">
      <c r="A43" s="3" t="s">
        <v>196</v>
      </c>
      <c r="B43" s="3" t="s">
        <v>152</v>
      </c>
      <c r="C43" s="2" t="s">
        <v>197</v>
      </c>
      <c r="D43" s="2" t="s">
        <v>198</v>
      </c>
      <c r="E43" s="3" t="s">
        <v>32</v>
      </c>
      <c r="F43" s="3" t="s">
        <v>105</v>
      </c>
      <c r="G43" s="3">
        <v>1</v>
      </c>
      <c r="H43" s="3" t="s">
        <v>90</v>
      </c>
      <c r="I43" s="3" t="s">
        <v>106</v>
      </c>
      <c r="J43" s="4"/>
      <c r="K43" s="4"/>
      <c r="L43" s="2" t="s">
        <v>199</v>
      </c>
      <c r="M43" s="5"/>
      <c r="N43" s="5"/>
      <c r="O43" s="5"/>
    </row>
    <row r="44" spans="1:15" x14ac:dyDescent="0.4">
      <c r="A44" s="10" t="s">
        <v>200</v>
      </c>
      <c r="B44" s="7"/>
      <c r="C44" s="7"/>
      <c r="D44" s="7"/>
      <c r="E44" s="7"/>
      <c r="F44" s="7"/>
      <c r="G44" s="7"/>
      <c r="H44" s="7"/>
      <c r="I44" s="7"/>
      <c r="J44" s="7"/>
      <c r="K44" s="11">
        <f>SUM(K6:K43)</f>
        <v>363.66</v>
      </c>
      <c r="L44" s="7"/>
      <c r="M44" s="7"/>
      <c r="N44" s="7"/>
      <c r="O44" s="7"/>
    </row>
    <row r="45" spans="1:15" x14ac:dyDescent="0.4">
      <c r="A45" s="8" t="s">
        <v>201</v>
      </c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</row>
    <row r="46" spans="1:15" x14ac:dyDescent="0.4">
      <c r="A46" s="12" t="s">
        <v>202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</row>
  </sheetData>
  <mergeCells count="13">
    <mergeCell ref="A45:O45"/>
    <mergeCell ref="A46:O46"/>
    <mergeCell ref="A13:O13"/>
    <mergeCell ref="A23:O23"/>
    <mergeCell ref="A29:O29"/>
    <mergeCell ref="A32:O32"/>
    <mergeCell ref="A44:J44"/>
    <mergeCell ref="K44:O44"/>
    <mergeCell ref="A1:O1"/>
    <mergeCell ref="A2:O2"/>
    <mergeCell ref="A3:O3"/>
    <mergeCell ref="A4:O4"/>
    <mergeCell ref="A6:O6"/>
  </mergeCells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workbookViewId="0">
      <pane ySplit="2" topLeftCell="A3" activePane="bottomLeft" state="frozen"/>
      <selection pane="bottomLeft"/>
    </sheetView>
  </sheetViews>
  <sheetFormatPr defaultRowHeight="15" x14ac:dyDescent="0.4"/>
  <cols>
    <col min="1" max="1" width="6" customWidth="1"/>
    <col min="2" max="2" width="30" customWidth="1"/>
    <col min="3" max="3" width="46" customWidth="1"/>
    <col min="4" max="4" width="14" customWidth="1"/>
  </cols>
  <sheetData>
    <row r="1" spans="1:4" ht="21.5" x14ac:dyDescent="0.4">
      <c r="A1" s="6" t="s">
        <v>203</v>
      </c>
      <c r="B1" s="7"/>
      <c r="C1" s="7"/>
      <c r="D1" s="7"/>
    </row>
    <row r="2" spans="1:4" x14ac:dyDescent="0.4">
      <c r="A2" s="8" t="s">
        <v>204</v>
      </c>
      <c r="B2" s="7"/>
      <c r="C2" s="7"/>
      <c r="D2" s="7"/>
    </row>
    <row r="3" spans="1:4" x14ac:dyDescent="0.4">
      <c r="A3" s="1" t="s">
        <v>4</v>
      </c>
      <c r="B3" s="1" t="s">
        <v>205</v>
      </c>
      <c r="C3" s="1" t="s">
        <v>206</v>
      </c>
      <c r="D3" s="1" t="s">
        <v>207</v>
      </c>
    </row>
    <row r="4" spans="1:4" x14ac:dyDescent="0.4">
      <c r="A4" s="3" t="s">
        <v>208</v>
      </c>
      <c r="B4" s="2" t="s">
        <v>209</v>
      </c>
      <c r="C4" s="2" t="s">
        <v>210</v>
      </c>
      <c r="D4" s="3" t="s">
        <v>211</v>
      </c>
    </row>
    <row r="5" spans="1:4" x14ac:dyDescent="0.4">
      <c r="A5" s="3" t="s">
        <v>212</v>
      </c>
      <c r="B5" s="2" t="s">
        <v>213</v>
      </c>
      <c r="C5" s="2" t="s">
        <v>214</v>
      </c>
      <c r="D5" s="3" t="s">
        <v>211</v>
      </c>
    </row>
    <row r="6" spans="1:4" x14ac:dyDescent="0.4">
      <c r="A6" s="3" t="s">
        <v>215</v>
      </c>
      <c r="B6" s="2" t="s">
        <v>216</v>
      </c>
      <c r="C6" s="2" t="s">
        <v>217</v>
      </c>
      <c r="D6" s="3" t="s">
        <v>211</v>
      </c>
    </row>
    <row r="7" spans="1:4" x14ac:dyDescent="0.4">
      <c r="A7" s="3" t="s">
        <v>218</v>
      </c>
      <c r="B7" s="2" t="s">
        <v>219</v>
      </c>
      <c r="C7" s="2" t="s">
        <v>220</v>
      </c>
      <c r="D7" s="3" t="s">
        <v>211</v>
      </c>
    </row>
    <row r="8" spans="1:4" x14ac:dyDescent="0.4">
      <c r="A8" s="3" t="s">
        <v>221</v>
      </c>
      <c r="B8" s="2" t="s">
        <v>222</v>
      </c>
      <c r="C8" s="2" t="s">
        <v>223</v>
      </c>
      <c r="D8" s="3" t="s">
        <v>211</v>
      </c>
    </row>
    <row r="9" spans="1:4" x14ac:dyDescent="0.4">
      <c r="A9" s="3" t="s">
        <v>224</v>
      </c>
      <c r="B9" s="2" t="s">
        <v>225</v>
      </c>
      <c r="C9" s="2" t="s">
        <v>226</v>
      </c>
      <c r="D9" s="3" t="s">
        <v>211</v>
      </c>
    </row>
    <row r="10" spans="1:4" x14ac:dyDescent="0.4">
      <c r="A10" s="3" t="s">
        <v>227</v>
      </c>
      <c r="B10" s="2" t="s">
        <v>228</v>
      </c>
      <c r="C10" s="2" t="s">
        <v>229</v>
      </c>
      <c r="D10" s="3" t="s">
        <v>230</v>
      </c>
    </row>
    <row r="11" spans="1:4" ht="30" x14ac:dyDescent="0.4">
      <c r="A11" s="3" t="s">
        <v>231</v>
      </c>
      <c r="B11" s="2" t="s">
        <v>232</v>
      </c>
      <c r="C11" s="2" t="s">
        <v>233</v>
      </c>
      <c r="D11" s="3" t="s">
        <v>211</v>
      </c>
    </row>
    <row r="12" spans="1:4" x14ac:dyDescent="0.4">
      <c r="A12" s="3" t="s">
        <v>234</v>
      </c>
      <c r="B12" s="2" t="s">
        <v>235</v>
      </c>
      <c r="C12" s="2" t="s">
        <v>236</v>
      </c>
      <c r="D12" s="3" t="s">
        <v>230</v>
      </c>
    </row>
    <row r="13" spans="1:4" x14ac:dyDescent="0.4">
      <c r="A13" s="3" t="s">
        <v>237</v>
      </c>
      <c r="B13" s="2" t="s">
        <v>238</v>
      </c>
      <c r="C13" s="2" t="s">
        <v>239</v>
      </c>
      <c r="D13" s="3" t="s">
        <v>240</v>
      </c>
    </row>
  </sheetData>
  <mergeCells count="2">
    <mergeCell ref="A1:D1"/>
    <mergeCell ref="A2:D2"/>
  </mergeCells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6"/>
  <sheetViews>
    <sheetView workbookViewId="0">
      <pane ySplit="2" topLeftCell="A3" activePane="bottomLeft" state="frozen"/>
      <selection pane="bottomLeft"/>
    </sheetView>
  </sheetViews>
  <sheetFormatPr defaultRowHeight="15" x14ac:dyDescent="0.4"/>
  <cols>
    <col min="1" max="1" width="18" customWidth="1"/>
    <col min="2" max="2" width="26" customWidth="1"/>
    <col min="3" max="3" width="40" customWidth="1"/>
    <col min="4" max="4" width="10" customWidth="1"/>
    <col min="5" max="5" width="42" customWidth="1"/>
  </cols>
  <sheetData>
    <row r="1" spans="1:5" ht="21.5" x14ac:dyDescent="0.4">
      <c r="A1" s="6" t="s">
        <v>241</v>
      </c>
      <c r="B1" s="7"/>
      <c r="C1" s="7"/>
      <c r="D1" s="7"/>
      <c r="E1" s="7"/>
    </row>
    <row r="2" spans="1:5" x14ac:dyDescent="0.4">
      <c r="A2" s="8" t="s">
        <v>242</v>
      </c>
      <c r="B2" s="7"/>
      <c r="C2" s="7"/>
      <c r="D2" s="7"/>
      <c r="E2" s="7"/>
    </row>
    <row r="3" spans="1:5" x14ac:dyDescent="0.4">
      <c r="A3" s="1" t="s">
        <v>243</v>
      </c>
      <c r="B3" s="1" t="s">
        <v>205</v>
      </c>
      <c r="C3" s="1" t="s">
        <v>244</v>
      </c>
      <c r="D3" s="1" t="s">
        <v>245</v>
      </c>
      <c r="E3" s="1" t="s">
        <v>246</v>
      </c>
    </row>
    <row r="4" spans="1:5" ht="30" x14ac:dyDescent="0.4">
      <c r="A4" s="2" t="s">
        <v>247</v>
      </c>
      <c r="B4" s="2" t="s">
        <v>248</v>
      </c>
      <c r="C4" s="2" t="s">
        <v>249</v>
      </c>
      <c r="D4" s="3">
        <v>2</v>
      </c>
      <c r="E4" s="2" t="s">
        <v>250</v>
      </c>
    </row>
    <row r="5" spans="1:5" ht="30" x14ac:dyDescent="0.4">
      <c r="A5" s="2" t="s">
        <v>247</v>
      </c>
      <c r="B5" s="2" t="s">
        <v>251</v>
      </c>
      <c r="C5" s="2" t="s">
        <v>60</v>
      </c>
      <c r="D5" s="3">
        <v>2</v>
      </c>
      <c r="E5" s="2" t="s">
        <v>252</v>
      </c>
    </row>
    <row r="6" spans="1:5" ht="30" x14ac:dyDescent="0.4">
      <c r="A6" s="2" t="s">
        <v>247</v>
      </c>
      <c r="B6" s="2" t="s">
        <v>253</v>
      </c>
      <c r="C6" s="2" t="s">
        <v>254</v>
      </c>
      <c r="D6" s="3">
        <v>1</v>
      </c>
      <c r="E6" s="2" t="s">
        <v>255</v>
      </c>
    </row>
    <row r="7" spans="1:5" ht="30" x14ac:dyDescent="0.4">
      <c r="A7" s="2" t="s">
        <v>247</v>
      </c>
      <c r="B7" s="2" t="s">
        <v>256</v>
      </c>
      <c r="C7" s="2" t="s">
        <v>257</v>
      </c>
      <c r="D7" s="3">
        <v>10</v>
      </c>
      <c r="E7" s="2"/>
    </row>
    <row r="8" spans="1:5" ht="30" x14ac:dyDescent="0.4">
      <c r="A8" s="2" t="s">
        <v>247</v>
      </c>
      <c r="B8" s="2" t="s">
        <v>258</v>
      </c>
      <c r="C8" s="2" t="s">
        <v>259</v>
      </c>
      <c r="D8" s="3">
        <v>1</v>
      </c>
      <c r="E8" s="2" t="s">
        <v>260</v>
      </c>
    </row>
    <row r="9" spans="1:5" x14ac:dyDescent="0.4">
      <c r="A9" s="2" t="s">
        <v>261</v>
      </c>
      <c r="B9" s="2" t="s">
        <v>262</v>
      </c>
      <c r="C9" s="2" t="s">
        <v>263</v>
      </c>
      <c r="D9" s="3">
        <v>0</v>
      </c>
      <c r="E9" s="2" t="s">
        <v>264</v>
      </c>
    </row>
    <row r="10" spans="1:5" x14ac:dyDescent="0.4">
      <c r="A10" s="2" t="s">
        <v>261</v>
      </c>
      <c r="B10" s="2" t="s">
        <v>265</v>
      </c>
      <c r="C10" s="2" t="s">
        <v>32</v>
      </c>
      <c r="D10" s="3">
        <v>0</v>
      </c>
      <c r="E10" s="2" t="s">
        <v>266</v>
      </c>
    </row>
    <row r="11" spans="1:5" x14ac:dyDescent="0.4">
      <c r="A11" s="2" t="s">
        <v>261</v>
      </c>
      <c r="B11" s="2" t="s">
        <v>267</v>
      </c>
      <c r="C11" s="2" t="s">
        <v>32</v>
      </c>
      <c r="D11" s="3">
        <v>0</v>
      </c>
      <c r="E11" s="2" t="s">
        <v>268</v>
      </c>
    </row>
    <row r="12" spans="1:5" x14ac:dyDescent="0.4">
      <c r="A12" s="2" t="s">
        <v>269</v>
      </c>
      <c r="B12" s="2" t="s">
        <v>270</v>
      </c>
      <c r="C12" s="2" t="s">
        <v>271</v>
      </c>
      <c r="D12" s="3">
        <v>0</v>
      </c>
      <c r="E12" s="2" t="s">
        <v>272</v>
      </c>
    </row>
    <row r="13" spans="1:5" x14ac:dyDescent="0.4">
      <c r="A13" s="2" t="s">
        <v>269</v>
      </c>
      <c r="B13" s="2" t="s">
        <v>273</v>
      </c>
      <c r="C13" s="2" t="s">
        <v>32</v>
      </c>
      <c r="D13" s="3">
        <v>0</v>
      </c>
      <c r="E13" s="2" t="s">
        <v>272</v>
      </c>
    </row>
    <row r="14" spans="1:5" ht="30" x14ac:dyDescent="0.4">
      <c r="A14" s="2" t="s">
        <v>269</v>
      </c>
      <c r="B14" s="2" t="s">
        <v>274</v>
      </c>
      <c r="C14" s="2" t="s">
        <v>32</v>
      </c>
      <c r="D14" s="3">
        <v>0</v>
      </c>
      <c r="E14" s="2" t="s">
        <v>272</v>
      </c>
    </row>
    <row r="15" spans="1:5" x14ac:dyDescent="0.4">
      <c r="A15" s="2" t="s">
        <v>269</v>
      </c>
      <c r="B15" s="2" t="s">
        <v>275</v>
      </c>
      <c r="C15" s="2" t="s">
        <v>32</v>
      </c>
      <c r="D15" s="3">
        <v>0</v>
      </c>
      <c r="E15" s="2" t="s">
        <v>272</v>
      </c>
    </row>
    <row r="16" spans="1:5" x14ac:dyDescent="0.4">
      <c r="A16" s="2" t="s">
        <v>269</v>
      </c>
      <c r="B16" s="2" t="s">
        <v>276</v>
      </c>
      <c r="C16" s="2" t="s">
        <v>32</v>
      </c>
      <c r="D16" s="3">
        <v>0</v>
      </c>
      <c r="E16" s="2" t="s">
        <v>272</v>
      </c>
    </row>
  </sheetData>
  <mergeCells count="2">
    <mergeCell ref="A1:E1"/>
    <mergeCell ref="A2:E2"/>
  </mergeCells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① 采购清单</vt:lpstr>
      <vt:lpstr>② 已有·不采购</vt:lpstr>
      <vt:lpstr>③ 退路与预留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明宇 唐</cp:lastModifiedBy>
  <dcterms:modified xsi:type="dcterms:W3CDTF">2026-09-26T11:38:05Z</dcterms:modified>
</cp:coreProperties>
</file>