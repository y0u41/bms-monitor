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正点原子\个人项目实战\BMS项目设计\"/>
    </mc:Choice>
  </mc:AlternateContent>
  <xr:revisionPtr revIDLastSave="0" documentId="13_ncr:1_{D9724229-7BA0-4340-B046-692AFBD50E3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耗材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D49" i="1"/>
  <c r="D46" i="1"/>
  <c r="D45" i="1"/>
  <c r="D44" i="1"/>
  <c r="D42" i="1"/>
  <c r="D34" i="1"/>
  <c r="D33" i="1"/>
  <c r="D21" i="1"/>
  <c r="D20" i="1"/>
  <c r="D18" i="1"/>
  <c r="D17" i="1"/>
  <c r="D16" i="1"/>
  <c r="D15" i="1"/>
  <c r="D14" i="1"/>
  <c r="D13" i="1"/>
  <c r="D12" i="1"/>
  <c r="D11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<sst xmlns="http://schemas.openxmlformats.org/spreadsheetml/2006/main" count="64" uniqueCount="56">
  <si>
    <t>名称</t>
  </si>
  <si>
    <t>单价</t>
  </si>
  <si>
    <t>个数</t>
  </si>
  <si>
    <t>总价</t>
  </si>
  <si>
    <t>购买地址</t>
  </si>
  <si>
    <t>一、采集链（AFE 采样板核心）</t>
  </si>
  <si>
    <t>BQ7692003PWR</t>
  </si>
  <si>
    <t>INA226 电流监测模块</t>
  </si>
  <si>
    <t>分流器 5mΩ / 3W</t>
  </si>
  <si>
    <t>NTC 10K B3950 热敏电阻</t>
  </si>
  <si>
    <t>电流采样电阻 Rsns 5mΩ</t>
  </si>
  <si>
    <t>大电流端子 KF128-5.08-2P-AA</t>
  </si>
  <si>
    <t>二、执行器与保护</t>
  </si>
  <si>
    <t>IRLZ44N 功率 MOSFET</t>
  </si>
  <si>
    <t>2N7002 小信号 MOSFET</t>
  </si>
  <si>
    <t>IRLML6344 预充 MOSFET</t>
  </si>
  <si>
    <t>水泥电阻 10Ω / 10W</t>
  </si>
  <si>
    <t>汽车片式保险丝 15A</t>
  </si>
  <si>
    <t>保险丝座</t>
  </si>
  <si>
    <t>AO3401 PMOS</t>
  </si>
  <si>
    <t>SMBJ20A TVS</t>
  </si>
  <si>
    <t>栅极 / 漏极阻件一套</t>
  </si>
  <si>
    <t>铝散热片 40×40×20</t>
  </si>
  <si>
    <t>小风扇</t>
  </si>
  <si>
    <t>三、电池与能源</t>
  </si>
  <si>
    <t>32700 磷酸铁锂电芯 6Ah</t>
  </si>
  <si>
    <t>电池塑料支架</t>
  </si>
  <si>
    <t>电池连接螺栓</t>
  </si>
  <si>
    <t>可调直流电源 0~30V / 5A</t>
  </si>
  <si>
    <t>XL4016 恒流模块（8A）</t>
  </si>
  <si>
    <t>水泥电阻 10Ω / 50W</t>
  </si>
  <si>
    <t>大电流端子（≥15A）</t>
  </si>
  <si>
    <t>2.5mm² 硅胶线</t>
  </si>
  <si>
    <t>CR1220 纽扣电池 + 座</t>
  </si>
  <si>
    <t>四、交互与通信</t>
  </si>
  <si>
    <t>RS485 收发电路 / 模块</t>
  </si>
  <si>
    <t>USB↔RS485 隔离型转换器</t>
  </si>
  <si>
    <t>五、阻容与散件</t>
  </si>
  <si>
    <t>电阻包 0805</t>
  </si>
  <si>
    <t>电阻 100Ω</t>
  </si>
  <si>
    <t>电阻 499K</t>
  </si>
  <si>
    <t>电容 470pF</t>
  </si>
  <si>
    <t>电阻 1KΩ</t>
  </si>
  <si>
    <t>电容包</t>
  </si>
  <si>
    <t>稳压二极管 3.3V / 0.5W</t>
  </si>
  <si>
    <t>I²C 上拉电阻 4.7K</t>
  </si>
  <si>
    <t>AFE 采样线束 5 芯</t>
  </si>
  <si>
    <t>XH2.54-5P 端子线</t>
  </si>
  <si>
    <t>XH2.54-8P 端子线</t>
  </si>
  <si>
    <t>洞洞板 / 排针 / 杜邦线 / 鳄鱼夹</t>
  </si>
  <si>
    <t>安全用品</t>
  </si>
  <si>
    <t>A 采样板阻容一套</t>
  </si>
  <si>
    <t>已有</t>
    <phoneticPr fontId="2" type="noConversion"/>
  </si>
  <si>
    <t>pcb板印刷</t>
    <phoneticPr fontId="2" type="noConversion"/>
  </si>
  <si>
    <t>合计（不含未定价 10 项）</t>
  </si>
  <si>
    <t>均在嘉立创商店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</si>
</sst>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宋体"/>
    </font>
    <font>
      <b/>
      <sz val="11"/>
      <name val="宋体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zoomScale="140" zoomScaleNormal="140" workbookViewId="0">
      <pane ySplit="1" topLeftCell="A2" activePane="bottomLeft" state="frozen"/>
      <selection pane="bottomLeft" activeCell="F6" sqref="F6"/>
    </sheetView>
  </sheetViews>
  <sheetFormatPr defaultRowHeight="14" x14ac:dyDescent="0.25"/>
  <cols>
    <col min="1" max="1" width="34" customWidth="1"/>
    <col min="2" max="2" width="9" customWidth="1"/>
    <col min="3" max="3" width="7" customWidth="1"/>
    <col min="4" max="4" width="9" customWidth="1"/>
    <col min="5" max="5" width="3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 x14ac:dyDescent="0.25">
      <c r="A2" s="2" t="s">
        <v>5</v>
      </c>
      <c r="B2" s="2"/>
      <c r="C2" s="2"/>
      <c r="D2" s="2"/>
      <c r="E2" s="2"/>
      <c r="F2" s="5" t="s">
        <v>55</v>
      </c>
    </row>
    <row r="3" spans="1:6" x14ac:dyDescent="0.25">
      <c r="A3" t="s">
        <v>6</v>
      </c>
      <c r="B3" s="4">
        <v>11.57</v>
      </c>
      <c r="C3" s="3">
        <v>5</v>
      </c>
      <c r="D3" s="4">
        <f t="shared" ref="D3:D9" si="0">B3*C3</f>
        <v>57.85</v>
      </c>
      <c r="F3" s="4"/>
    </row>
    <row r="4" spans="1:6" x14ac:dyDescent="0.25">
      <c r="A4" s="7" t="s">
        <v>53</v>
      </c>
      <c r="B4" s="4">
        <v>11</v>
      </c>
      <c r="C4" s="3">
        <v>5</v>
      </c>
      <c r="D4" s="4">
        <f t="shared" si="0"/>
        <v>55</v>
      </c>
      <c r="F4" s="4"/>
    </row>
    <row r="5" spans="1:6" x14ac:dyDescent="0.25">
      <c r="A5" t="s">
        <v>7</v>
      </c>
      <c r="B5" s="4">
        <v>4.6399999999999997</v>
      </c>
      <c r="C5" s="3">
        <v>1</v>
      </c>
      <c r="D5" s="4">
        <f t="shared" si="0"/>
        <v>4.6399999999999997</v>
      </c>
      <c r="F5" s="4"/>
    </row>
    <row r="6" spans="1:6" x14ac:dyDescent="0.25">
      <c r="A6" t="s">
        <v>8</v>
      </c>
      <c r="B6" s="4">
        <v>0.39700000000000002</v>
      </c>
      <c r="C6" s="3">
        <v>10</v>
      </c>
      <c r="D6" s="4">
        <f t="shared" si="0"/>
        <v>3.97</v>
      </c>
      <c r="F6" s="4"/>
    </row>
    <row r="7" spans="1:6" x14ac:dyDescent="0.25">
      <c r="A7" t="s">
        <v>9</v>
      </c>
      <c r="B7" s="4">
        <v>0.27900000000000003</v>
      </c>
      <c r="C7" s="3">
        <v>10</v>
      </c>
      <c r="D7" s="4">
        <f t="shared" si="0"/>
        <v>2.79</v>
      </c>
      <c r="F7" s="4"/>
    </row>
    <row r="8" spans="1:6" x14ac:dyDescent="0.25">
      <c r="A8" t="s">
        <v>10</v>
      </c>
      <c r="B8" s="4">
        <v>0.39600000000000002</v>
      </c>
      <c r="C8" s="3">
        <v>10</v>
      </c>
      <c r="D8" s="4">
        <f t="shared" si="0"/>
        <v>3.96</v>
      </c>
      <c r="F8" s="4"/>
    </row>
    <row r="9" spans="1:6" x14ac:dyDescent="0.25">
      <c r="A9" t="s">
        <v>11</v>
      </c>
      <c r="B9" s="4">
        <v>1.88</v>
      </c>
      <c r="C9" s="3">
        <v>5</v>
      </c>
      <c r="D9" s="4">
        <f t="shared" si="0"/>
        <v>9.3999999999999986</v>
      </c>
      <c r="F9" s="4"/>
    </row>
    <row r="10" spans="1:6" x14ac:dyDescent="0.25">
      <c r="A10" s="2" t="s">
        <v>12</v>
      </c>
      <c r="B10" s="2"/>
      <c r="C10" s="2"/>
      <c r="D10" s="2"/>
      <c r="E10" s="2"/>
      <c r="F10" s="2"/>
    </row>
    <row r="11" spans="1:6" x14ac:dyDescent="0.25">
      <c r="A11" t="s">
        <v>13</v>
      </c>
      <c r="B11" s="4">
        <v>6.73</v>
      </c>
      <c r="C11" s="3">
        <v>4</v>
      </c>
      <c r="D11" s="4">
        <f t="shared" ref="D11:D18" si="1">B11*C11</f>
        <v>26.92</v>
      </c>
      <c r="F11" s="4"/>
    </row>
    <row r="12" spans="1:6" x14ac:dyDescent="0.25">
      <c r="A12" t="s">
        <v>14</v>
      </c>
      <c r="B12" s="4">
        <v>0.11799999999999999</v>
      </c>
      <c r="C12" s="3">
        <v>50</v>
      </c>
      <c r="D12" s="4">
        <f t="shared" si="1"/>
        <v>5.8999999999999995</v>
      </c>
      <c r="F12" s="4"/>
    </row>
    <row r="13" spans="1:6" x14ac:dyDescent="0.25">
      <c r="A13" t="s">
        <v>15</v>
      </c>
      <c r="B13" s="4">
        <v>0.37</v>
      </c>
      <c r="C13" s="3">
        <v>10</v>
      </c>
      <c r="D13" s="4">
        <f t="shared" si="1"/>
        <v>3.7</v>
      </c>
      <c r="F13" s="4"/>
    </row>
    <row r="14" spans="1:6" x14ac:dyDescent="0.25">
      <c r="A14" t="s">
        <v>16</v>
      </c>
      <c r="B14" s="4">
        <v>0.77</v>
      </c>
      <c r="C14" s="3">
        <v>5</v>
      </c>
      <c r="D14" s="4">
        <f t="shared" si="1"/>
        <v>3.85</v>
      </c>
      <c r="F14" s="4"/>
    </row>
    <row r="15" spans="1:6" x14ac:dyDescent="0.25">
      <c r="A15" t="s">
        <v>17</v>
      </c>
      <c r="B15" s="4">
        <v>1.5940000000000001</v>
      </c>
      <c r="C15" s="3">
        <v>5</v>
      </c>
      <c r="D15" s="4">
        <f t="shared" si="1"/>
        <v>7.9700000000000006</v>
      </c>
      <c r="F15" s="4"/>
    </row>
    <row r="16" spans="1:6" x14ac:dyDescent="0.25">
      <c r="A16" t="s">
        <v>18</v>
      </c>
      <c r="B16" s="4">
        <v>1.5940000000000001</v>
      </c>
      <c r="C16" s="3">
        <v>5</v>
      </c>
      <c r="D16" s="4">
        <f t="shared" si="1"/>
        <v>7.9700000000000006</v>
      </c>
      <c r="F16" s="4"/>
    </row>
    <row r="17" spans="1:6" x14ac:dyDescent="0.25">
      <c r="A17" t="s">
        <v>19</v>
      </c>
      <c r="B17" s="4">
        <v>0.182</v>
      </c>
      <c r="C17" s="3">
        <v>20</v>
      </c>
      <c r="D17" s="4">
        <f t="shared" si="1"/>
        <v>3.6399999999999997</v>
      </c>
      <c r="F17" s="4"/>
    </row>
    <row r="18" spans="1:6" x14ac:dyDescent="0.25">
      <c r="A18" t="s">
        <v>20</v>
      </c>
      <c r="B18" s="4">
        <v>1.1319999999999999</v>
      </c>
      <c r="C18" s="3">
        <v>5</v>
      </c>
      <c r="D18" s="4">
        <f t="shared" si="1"/>
        <v>5.6599999999999993</v>
      </c>
      <c r="F18" s="4"/>
    </row>
    <row r="19" spans="1:6" x14ac:dyDescent="0.25">
      <c r="A19" t="s">
        <v>21</v>
      </c>
      <c r="B19" s="4"/>
      <c r="C19" s="3">
        <v>1</v>
      </c>
      <c r="D19" s="4"/>
      <c r="F19" s="4"/>
    </row>
    <row r="20" spans="1:6" x14ac:dyDescent="0.25">
      <c r="A20" t="s">
        <v>22</v>
      </c>
      <c r="B20" s="4">
        <v>14.38</v>
      </c>
      <c r="C20" s="3">
        <v>2</v>
      </c>
      <c r="D20" s="4">
        <f>B20*C20</f>
        <v>28.76</v>
      </c>
      <c r="F20" s="4"/>
    </row>
    <row r="21" spans="1:6" x14ac:dyDescent="0.25">
      <c r="A21" t="s">
        <v>23</v>
      </c>
      <c r="B21" s="4">
        <v>14.38</v>
      </c>
      <c r="C21" s="3">
        <v>1</v>
      </c>
      <c r="D21" s="4">
        <f>B21*C21</f>
        <v>14.38</v>
      </c>
      <c r="F21" s="4"/>
    </row>
    <row r="22" spans="1:6" x14ac:dyDescent="0.25">
      <c r="A22" s="2" t="s">
        <v>24</v>
      </c>
      <c r="B22" s="2"/>
      <c r="C22" s="2"/>
      <c r="D22" s="2"/>
      <c r="E22" s="2"/>
      <c r="F22" s="2"/>
    </row>
    <row r="23" spans="1:6" x14ac:dyDescent="0.25">
      <c r="A23" t="s">
        <v>25</v>
      </c>
      <c r="B23" s="4"/>
      <c r="C23" s="3">
        <v>4</v>
      </c>
      <c r="D23" s="4"/>
      <c r="F23" s="4"/>
    </row>
    <row r="24" spans="1:6" x14ac:dyDescent="0.25">
      <c r="A24" t="s">
        <v>26</v>
      </c>
      <c r="B24" s="4"/>
      <c r="C24" s="3">
        <v>1</v>
      </c>
      <c r="D24" s="4"/>
      <c r="F24" s="4"/>
    </row>
    <row r="25" spans="1:6" x14ac:dyDescent="0.25">
      <c r="A25" t="s">
        <v>27</v>
      </c>
      <c r="B25" s="4"/>
      <c r="C25" s="3">
        <v>1</v>
      </c>
      <c r="D25" s="4"/>
      <c r="F25" s="4"/>
    </row>
    <row r="26" spans="1:6" x14ac:dyDescent="0.25">
      <c r="A26" t="s">
        <v>28</v>
      </c>
      <c r="B26" s="4"/>
      <c r="C26" s="3">
        <v>1</v>
      </c>
      <c r="D26" s="4"/>
      <c r="F26" s="4"/>
    </row>
    <row r="27" spans="1:6" x14ac:dyDescent="0.25">
      <c r="A27" t="s">
        <v>29</v>
      </c>
      <c r="B27" s="4"/>
      <c r="C27" s="3">
        <v>1</v>
      </c>
      <c r="D27" s="4"/>
      <c r="F27" s="4"/>
    </row>
    <row r="28" spans="1:6" x14ac:dyDescent="0.25">
      <c r="A28" t="s">
        <v>30</v>
      </c>
      <c r="B28" s="4"/>
      <c r="C28" s="3">
        <v>4</v>
      </c>
      <c r="D28" s="4"/>
      <c r="F28" s="4"/>
    </row>
    <row r="29" spans="1:6" x14ac:dyDescent="0.25">
      <c r="A29" t="s">
        <v>31</v>
      </c>
      <c r="B29" s="4"/>
      <c r="C29" s="3">
        <v>1</v>
      </c>
      <c r="D29" s="4"/>
      <c r="F29" s="4"/>
    </row>
    <row r="30" spans="1:6" x14ac:dyDescent="0.25">
      <c r="A30" t="s">
        <v>32</v>
      </c>
      <c r="B30" s="4"/>
      <c r="C30" s="3">
        <v>1</v>
      </c>
      <c r="D30" s="4"/>
      <c r="F30" s="4"/>
    </row>
    <row r="31" spans="1:6" x14ac:dyDescent="0.25">
      <c r="A31" t="s">
        <v>33</v>
      </c>
      <c r="B31" s="4"/>
      <c r="C31" s="3">
        <v>1</v>
      </c>
      <c r="D31" s="4"/>
      <c r="F31" s="4"/>
    </row>
    <row r="32" spans="1:6" x14ac:dyDescent="0.25">
      <c r="A32" s="2" t="s">
        <v>34</v>
      </c>
      <c r="B32" s="2"/>
      <c r="C32" s="2"/>
      <c r="D32" s="2"/>
      <c r="E32" s="2"/>
      <c r="F32" s="2"/>
    </row>
    <row r="33" spans="1:6" x14ac:dyDescent="0.25">
      <c r="A33" t="s">
        <v>35</v>
      </c>
      <c r="B33" s="4">
        <v>1.55</v>
      </c>
      <c r="C33" s="3">
        <v>5</v>
      </c>
      <c r="D33" s="4">
        <f>B33*C33</f>
        <v>7.75</v>
      </c>
      <c r="F33" s="4"/>
    </row>
    <row r="34" spans="1:6" x14ac:dyDescent="0.25">
      <c r="A34" t="s">
        <v>36</v>
      </c>
      <c r="B34" s="4">
        <v>34.01</v>
      </c>
      <c r="C34" s="3">
        <v>1</v>
      </c>
      <c r="D34" s="4">
        <f>B34*C34</f>
        <v>34.01</v>
      </c>
      <c r="F34" s="4"/>
    </row>
    <row r="35" spans="1:6" x14ac:dyDescent="0.25">
      <c r="A35" s="2" t="s">
        <v>37</v>
      </c>
      <c r="B35" s="2"/>
      <c r="C35" s="2"/>
      <c r="D35" s="2"/>
      <c r="E35" s="2"/>
      <c r="F35" s="2"/>
    </row>
    <row r="36" spans="1:6" x14ac:dyDescent="0.25">
      <c r="A36" t="s">
        <v>38</v>
      </c>
      <c r="B36" s="6" t="s">
        <v>52</v>
      </c>
      <c r="C36" s="3">
        <v>1</v>
      </c>
      <c r="D36" s="4"/>
      <c r="F36" s="4"/>
    </row>
    <row r="37" spans="1:6" x14ac:dyDescent="0.25">
      <c r="A37" t="s">
        <v>39</v>
      </c>
      <c r="B37" s="6" t="s">
        <v>52</v>
      </c>
      <c r="C37" s="3">
        <v>14</v>
      </c>
      <c r="D37" s="4"/>
      <c r="F37" s="4"/>
    </row>
    <row r="38" spans="1:6" x14ac:dyDescent="0.25">
      <c r="A38" t="s">
        <v>40</v>
      </c>
      <c r="B38" s="6" t="s">
        <v>52</v>
      </c>
      <c r="C38" s="3">
        <v>2</v>
      </c>
      <c r="D38" s="4"/>
      <c r="F38" s="4"/>
    </row>
    <row r="39" spans="1:6" x14ac:dyDescent="0.25">
      <c r="A39" t="s">
        <v>41</v>
      </c>
      <c r="B39" s="6" t="s">
        <v>52</v>
      </c>
      <c r="C39" s="3">
        <v>2</v>
      </c>
      <c r="D39" s="4"/>
      <c r="F39" s="4"/>
    </row>
    <row r="40" spans="1:6" x14ac:dyDescent="0.25">
      <c r="A40" t="s">
        <v>42</v>
      </c>
      <c r="B40" s="6" t="s">
        <v>52</v>
      </c>
      <c r="C40" s="3">
        <v>2</v>
      </c>
      <c r="D40" s="4"/>
      <c r="F40" s="4"/>
    </row>
    <row r="41" spans="1:6" x14ac:dyDescent="0.25">
      <c r="A41" t="s">
        <v>43</v>
      </c>
      <c r="B41" s="6" t="s">
        <v>52</v>
      </c>
      <c r="C41" s="3">
        <v>1</v>
      </c>
      <c r="D41" s="4"/>
      <c r="F41" s="4"/>
    </row>
    <row r="42" spans="1:6" x14ac:dyDescent="0.25">
      <c r="A42" t="s">
        <v>44</v>
      </c>
      <c r="B42" s="4">
        <v>1.014</v>
      </c>
      <c r="C42" s="3">
        <v>5</v>
      </c>
      <c r="D42" s="4">
        <f>B42*C42</f>
        <v>5.07</v>
      </c>
      <c r="F42" s="4"/>
    </row>
    <row r="43" spans="1:6" x14ac:dyDescent="0.25">
      <c r="A43" t="s">
        <v>45</v>
      </c>
      <c r="B43" s="6" t="s">
        <v>52</v>
      </c>
      <c r="C43" s="3">
        <v>20</v>
      </c>
      <c r="D43" s="4"/>
      <c r="F43" s="4"/>
    </row>
    <row r="44" spans="1:6" x14ac:dyDescent="0.25">
      <c r="A44" t="s">
        <v>46</v>
      </c>
      <c r="B44" s="4">
        <v>3.496</v>
      </c>
      <c r="C44" s="3">
        <v>2</v>
      </c>
      <c r="D44" s="4">
        <f>B44*C44</f>
        <v>6.992</v>
      </c>
      <c r="F44" s="4"/>
    </row>
    <row r="45" spans="1:6" x14ac:dyDescent="0.25">
      <c r="A45" t="s">
        <v>47</v>
      </c>
      <c r="B45" s="4">
        <v>0.14699999999999999</v>
      </c>
      <c r="C45" s="3">
        <v>20</v>
      </c>
      <c r="D45" s="4">
        <f>B45*C45</f>
        <v>2.94</v>
      </c>
      <c r="F45" s="4"/>
    </row>
    <row r="46" spans="1:6" x14ac:dyDescent="0.25">
      <c r="A46" t="s">
        <v>48</v>
      </c>
      <c r="B46" s="4">
        <v>0.217</v>
      </c>
      <c r="C46" s="3">
        <v>10</v>
      </c>
      <c r="D46" s="4">
        <f>B46*C46</f>
        <v>2.17</v>
      </c>
      <c r="F46" s="4"/>
    </row>
    <row r="47" spans="1:6" x14ac:dyDescent="0.25">
      <c r="A47" t="s">
        <v>49</v>
      </c>
      <c r="B47" s="6" t="s">
        <v>52</v>
      </c>
      <c r="C47" s="3">
        <v>1</v>
      </c>
      <c r="D47" s="4"/>
      <c r="F47" s="4"/>
    </row>
    <row r="48" spans="1:6" x14ac:dyDescent="0.25">
      <c r="A48" t="s">
        <v>50</v>
      </c>
      <c r="B48" s="6" t="s">
        <v>52</v>
      </c>
      <c r="C48" s="3">
        <v>1</v>
      </c>
      <c r="D48" s="4"/>
      <c r="F48" s="4"/>
    </row>
    <row r="49" spans="1:6" x14ac:dyDescent="0.25">
      <c r="A49" t="s">
        <v>51</v>
      </c>
      <c r="B49" s="4">
        <v>94.44</v>
      </c>
      <c r="C49" s="3">
        <v>1</v>
      </c>
      <c r="D49" s="4">
        <f>B49*C49</f>
        <v>94.44</v>
      </c>
      <c r="F49" s="4"/>
    </row>
    <row r="50" spans="1:6" x14ac:dyDescent="0.25">
      <c r="A50" s="1" t="s">
        <v>54</v>
      </c>
      <c r="B50" s="4"/>
      <c r="C50" s="3"/>
      <c r="D50" s="1">
        <f>SUM(D3:D49)</f>
        <v>399.73200000000003</v>
      </c>
      <c r="F50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耗材清单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明宇 唐</cp:lastModifiedBy>
  <dcterms:modified xsi:type="dcterms:W3CDTF">2026-09-27T13:59:05Z</dcterms:modified>
</cp:coreProperties>
</file>